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nas\Downloads\"/>
    </mc:Choice>
  </mc:AlternateContent>
  <bookViews>
    <workbookView xWindow="-105" yWindow="-105" windowWidth="23250" windowHeight="13890"/>
  </bookViews>
  <sheets>
    <sheet name="  Journal de Bord des Arrêts" sheetId="1" r:id="rId1"/>
    <sheet name="Matrice Productivité " sheetId="4" r:id="rId2"/>
    <sheet name="Arrêt par Département (2)" sheetId="22" r:id="rId3"/>
    <sheet name="Arrêt par Département (3)" sheetId="24" r:id="rId4"/>
    <sheet name="Arrêt par Département" sheetId="13" r:id="rId5"/>
    <sheet name="Arrêt en H Maroc" sheetId="10" r:id="rId6"/>
    <sheet name="Arrêt en Productivité Maroc" sheetId="9" r:id="rId7"/>
    <sheet name="Arrêt en Productivité par site" sheetId="8" r:id="rId8"/>
    <sheet name="Liste figée" sheetId="2" r:id="rId9"/>
    <sheet name="Arret hebdo par Batiment" sheetId="17" r:id="rId10"/>
    <sheet name="Arret hebdo % maroc" sheetId="20" r:id="rId11"/>
    <sheet name="Arret hebdo maroc" sheetId="16" r:id="rId12"/>
    <sheet name="Arret hebdo par service" sheetId="18" r:id="rId13"/>
    <sheet name="Feuil2" sheetId="15" state="hidden" r:id="rId14"/>
  </sheets>
  <definedNames>
    <definedName name="_xlnm._FilterDatabase" localSheetId="0" hidden="1">'  Journal de Bord des Arrêts'!$A$1:$W$189</definedName>
    <definedName name="_xlnm.Print_Area" localSheetId="0">'  Journal de Bord des Arrêts'!$I$1:$U$22</definedName>
  </definedNames>
  <calcPr calcId="191028"/>
  <pivotCaches>
    <pivotCache cacheId="0" r:id="rId15"/>
    <pivotCache cacheId="1" r:id="rId16"/>
    <pivotCache cacheId="2" r:id="rId17"/>
    <pivotCache cacheId="3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9" i="1" l="1"/>
  <c r="R189" i="1"/>
  <c r="F189" i="1"/>
  <c r="E189" i="1"/>
  <c r="D189" i="1"/>
  <c r="P182" i="1"/>
  <c r="R188" i="1"/>
  <c r="P188" i="1"/>
  <c r="F188" i="1"/>
  <c r="E188" i="1"/>
  <c r="D188" i="1"/>
  <c r="R187" i="1"/>
  <c r="P161" i="1"/>
  <c r="P177" i="1"/>
  <c r="P178" i="1"/>
  <c r="P179" i="1"/>
  <c r="P180" i="1"/>
  <c r="P181" i="1"/>
  <c r="P183" i="1"/>
  <c r="P184" i="1"/>
  <c r="P185" i="1"/>
  <c r="P186" i="1"/>
  <c r="P187" i="1"/>
  <c r="P176" i="1"/>
  <c r="D187" i="1"/>
  <c r="E187" i="1"/>
  <c r="F187" i="1"/>
  <c r="R186" i="1"/>
  <c r="D186" i="1"/>
  <c r="E186" i="1"/>
  <c r="F186" i="1"/>
  <c r="R185" i="1"/>
  <c r="D185" i="1"/>
  <c r="E185" i="1"/>
  <c r="F185" i="1"/>
  <c r="R178" i="1"/>
  <c r="R140" i="1"/>
  <c r="P140" i="1"/>
  <c r="F140" i="1"/>
  <c r="E140" i="1"/>
  <c r="D140" i="1"/>
  <c r="D184" i="1"/>
  <c r="R184" i="1"/>
  <c r="F184" i="1"/>
  <c r="E184" i="1"/>
  <c r="R183" i="1"/>
  <c r="F183" i="1"/>
  <c r="E183" i="1"/>
  <c r="D183" i="1"/>
  <c r="R182" i="1"/>
  <c r="F182" i="1"/>
  <c r="E182" i="1"/>
  <c r="D182" i="1"/>
  <c r="R181" i="1"/>
  <c r="F181" i="1"/>
  <c r="E181" i="1"/>
  <c r="D181" i="1"/>
  <c r="R180" i="1"/>
  <c r="D180" i="1"/>
  <c r="E180" i="1"/>
  <c r="F180" i="1"/>
  <c r="E179" i="1"/>
  <c r="F179" i="1"/>
  <c r="R179" i="1"/>
  <c r="D179" i="1"/>
  <c r="D178" i="1"/>
  <c r="E178" i="1"/>
  <c r="F178" i="1"/>
  <c r="P129" i="1"/>
  <c r="P120" i="1"/>
  <c r="P95" i="1"/>
  <c r="P86" i="1"/>
  <c r="P64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7" i="1"/>
  <c r="P88" i="1"/>
  <c r="P89" i="1"/>
  <c r="P90" i="1"/>
  <c r="P91" i="1"/>
  <c r="P92" i="1"/>
  <c r="P93" i="1"/>
  <c r="P94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1" i="1"/>
  <c r="P122" i="1"/>
  <c r="P123" i="1"/>
  <c r="P124" i="1"/>
  <c r="P125" i="1"/>
  <c r="P126" i="1"/>
  <c r="P127" i="1"/>
  <c r="P128" i="1"/>
  <c r="P130" i="1"/>
  <c r="P131" i="1"/>
  <c r="P132" i="1"/>
  <c r="P133" i="1"/>
  <c r="P134" i="1"/>
  <c r="P135" i="1"/>
  <c r="P136" i="1"/>
  <c r="P137" i="1"/>
  <c r="P138" i="1"/>
  <c r="P139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2" i="1"/>
  <c r="P1" i="4"/>
  <c r="Q1" i="4"/>
  <c r="R177" i="1"/>
  <c r="R175" i="1"/>
  <c r="F175" i="1"/>
  <c r="E175" i="1"/>
  <c r="D175" i="1"/>
  <c r="R176" i="1"/>
  <c r="R174" i="1"/>
  <c r="I2" i="4"/>
  <c r="F177" i="1"/>
  <c r="E177" i="1"/>
  <c r="D177" i="1"/>
  <c r="F176" i="1"/>
  <c r="E176" i="1"/>
  <c r="D176" i="1"/>
  <c r="F174" i="1"/>
  <c r="E174" i="1"/>
  <c r="D174" i="1"/>
  <c r="R173" i="1"/>
  <c r="F173" i="1"/>
  <c r="E173" i="1"/>
  <c r="D173" i="1"/>
  <c r="R172" i="1"/>
  <c r="F172" i="1"/>
  <c r="E172" i="1"/>
  <c r="D172" i="1"/>
  <c r="R171" i="1"/>
  <c r="F171" i="1"/>
  <c r="E171" i="1"/>
  <c r="D171" i="1"/>
  <c r="R170" i="1"/>
  <c r="F170" i="1"/>
  <c r="E170" i="1"/>
  <c r="D170" i="1"/>
  <c r="F169" i="1"/>
  <c r="D169" i="1"/>
  <c r="E169" i="1"/>
  <c r="E158" i="1"/>
  <c r="R169" i="1"/>
  <c r="R168" i="1"/>
  <c r="D156" i="1"/>
  <c r="E156" i="1"/>
  <c r="F156" i="1"/>
  <c r="R156" i="1"/>
  <c r="D157" i="1"/>
  <c r="E157" i="1"/>
  <c r="F157" i="1"/>
  <c r="R157" i="1"/>
  <c r="D158" i="1"/>
  <c r="F158" i="1"/>
  <c r="R158" i="1"/>
  <c r="R165" i="1"/>
  <c r="D154" i="1"/>
  <c r="E154" i="1"/>
  <c r="F154" i="1"/>
  <c r="R154" i="1"/>
  <c r="D152" i="1"/>
  <c r="E152" i="1"/>
  <c r="F152" i="1"/>
  <c r="R152" i="1"/>
  <c r="D153" i="1"/>
  <c r="E153" i="1"/>
  <c r="F153" i="1"/>
  <c r="R153" i="1"/>
  <c r="D155" i="1"/>
  <c r="E155" i="1"/>
  <c r="F155" i="1"/>
  <c r="R155" i="1"/>
  <c r="D147" i="1"/>
  <c r="E147" i="1"/>
  <c r="F147" i="1"/>
  <c r="R147" i="1"/>
  <c r="D150" i="1"/>
  <c r="E150" i="1"/>
  <c r="F150" i="1"/>
  <c r="R150" i="1"/>
  <c r="D151" i="1"/>
  <c r="E151" i="1"/>
  <c r="F151" i="1"/>
  <c r="R151" i="1"/>
  <c r="R164" i="1"/>
  <c r="R163" i="1"/>
  <c r="R162" i="1"/>
  <c r="F162" i="1"/>
  <c r="E162" i="1"/>
  <c r="D162" i="1"/>
  <c r="R159" i="1"/>
  <c r="F159" i="1"/>
  <c r="E159" i="1"/>
  <c r="D159" i="1"/>
  <c r="D146" i="1"/>
  <c r="E146" i="1"/>
  <c r="F146" i="1"/>
  <c r="R146" i="1"/>
  <c r="E163" i="1"/>
  <c r="F163" i="1"/>
  <c r="D163" i="1"/>
  <c r="R167" i="1"/>
  <c r="F166" i="1"/>
  <c r="E166" i="1"/>
  <c r="D166" i="1"/>
  <c r="F167" i="1"/>
  <c r="E167" i="1"/>
  <c r="D167" i="1"/>
  <c r="R143" i="1"/>
  <c r="F143" i="1"/>
  <c r="E143" i="1"/>
  <c r="D143" i="1"/>
  <c r="L7" i="4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1" i="1"/>
  <c r="R142" i="1"/>
  <c r="R144" i="1"/>
  <c r="R145" i="1"/>
  <c r="R148" i="1"/>
  <c r="R149" i="1"/>
  <c r="R160" i="1"/>
  <c r="R161" i="1"/>
  <c r="R166" i="1"/>
  <c r="I10" i="4"/>
  <c r="I9" i="4"/>
  <c r="I8" i="4"/>
  <c r="I7" i="4"/>
  <c r="I6" i="4"/>
  <c r="I5" i="4"/>
  <c r="I4" i="4"/>
  <c r="I3" i="4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1" i="1"/>
  <c r="F142" i="1"/>
  <c r="F144" i="1"/>
  <c r="F145" i="1"/>
  <c r="F148" i="1"/>
  <c r="F149" i="1"/>
  <c r="F160" i="1"/>
  <c r="F161" i="1"/>
  <c r="E161" i="1"/>
  <c r="D161" i="1"/>
  <c r="E160" i="1"/>
  <c r="D160" i="1"/>
  <c r="E149" i="1"/>
  <c r="D149" i="1"/>
  <c r="E148" i="1"/>
  <c r="D148" i="1"/>
  <c r="E145" i="1"/>
  <c r="D145" i="1"/>
  <c r="E144" i="1"/>
  <c r="D144" i="1"/>
  <c r="E141" i="1"/>
  <c r="D141" i="1"/>
  <c r="E139" i="1"/>
  <c r="D139" i="1"/>
  <c r="E138" i="1"/>
  <c r="D138" i="1"/>
  <c r="E131" i="1"/>
  <c r="D131" i="1"/>
  <c r="E130" i="1"/>
  <c r="D130" i="1"/>
  <c r="E129" i="1"/>
  <c r="D129" i="1"/>
  <c r="E128" i="1"/>
  <c r="D128" i="1"/>
  <c r="E127" i="1"/>
  <c r="D127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R114" i="1"/>
  <c r="E142" i="1"/>
  <c r="E137" i="1"/>
  <c r="D137" i="1"/>
  <c r="E136" i="1"/>
  <c r="D136" i="1"/>
  <c r="D135" i="1"/>
  <c r="E135" i="1"/>
  <c r="D142" i="1"/>
  <c r="E134" i="1"/>
  <c r="D134" i="1"/>
  <c r="E111" i="1"/>
  <c r="D111" i="1"/>
  <c r="E110" i="1"/>
  <c r="D110" i="1"/>
  <c r="E109" i="1"/>
  <c r="D109" i="1"/>
  <c r="E133" i="1"/>
  <c r="D133" i="1"/>
  <c r="E132" i="1"/>
  <c r="D132" i="1"/>
  <c r="E126" i="1"/>
  <c r="D126" i="1"/>
  <c r="E125" i="1"/>
  <c r="D125" i="1"/>
  <c r="E115" i="1"/>
  <c r="D115" i="1"/>
  <c r="E114" i="1"/>
  <c r="D114" i="1"/>
  <c r="E113" i="1"/>
  <c r="D113" i="1"/>
  <c r="E112" i="1"/>
  <c r="D112" i="1"/>
  <c r="E108" i="1"/>
  <c r="D108" i="1"/>
  <c r="E107" i="1"/>
  <c r="D107" i="1"/>
  <c r="E106" i="1"/>
  <c r="D106" i="1"/>
  <c r="E105" i="1"/>
  <c r="D105" i="1"/>
  <c r="E104" i="1"/>
  <c r="D104" i="1"/>
  <c r="F10" i="4"/>
  <c r="J10" i="4" s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E2" i="1"/>
  <c r="D2" i="1"/>
  <c r="F9" i="4"/>
  <c r="J9" i="4" s="1"/>
  <c r="F8" i="4"/>
  <c r="J8" i="4" s="1"/>
  <c r="F7" i="4"/>
  <c r="J7" i="4" s="1"/>
  <c r="E6" i="4"/>
  <c r="F6" i="4" s="1"/>
  <c r="J6" i="4" s="1"/>
  <c r="E5" i="4"/>
  <c r="F5" i="4" s="1"/>
  <c r="J5" i="4" s="1"/>
  <c r="E4" i="4"/>
  <c r="F4" i="4" s="1"/>
  <c r="J4" i="4" s="1"/>
  <c r="E3" i="4"/>
  <c r="F3" i="4" s="1"/>
  <c r="J3" i="4" s="1"/>
  <c r="E2" i="4"/>
  <c r="F2" i="4" s="1"/>
  <c r="J2" i="4" s="1"/>
  <c r="S188" i="1" l="1"/>
  <c r="S189" i="1"/>
  <c r="S187" i="1"/>
  <c r="S157" i="1"/>
  <c r="S186" i="1"/>
  <c r="S185" i="1"/>
  <c r="S184" i="1"/>
  <c r="S183" i="1"/>
  <c r="S182" i="1"/>
  <c r="S181" i="1"/>
  <c r="S180" i="1"/>
  <c r="S179" i="1"/>
  <c r="S178" i="1"/>
  <c r="S140" i="1"/>
  <c r="S166" i="1"/>
  <c r="S152" i="1"/>
  <c r="S150" i="1"/>
  <c r="S171" i="1"/>
  <c r="S177" i="1"/>
  <c r="S176" i="1"/>
  <c r="S163" i="1"/>
  <c r="S151" i="1"/>
  <c r="S164" i="1"/>
  <c r="S159" i="1"/>
  <c r="S158" i="1"/>
  <c r="S162" i="1"/>
  <c r="S161" i="1"/>
  <c r="S147" i="1"/>
  <c r="S172" i="1"/>
  <c r="S174" i="1"/>
  <c r="S175" i="1"/>
  <c r="S160" i="1"/>
  <c r="S146" i="1"/>
  <c r="S170" i="1"/>
  <c r="S156" i="1"/>
  <c r="S169" i="1"/>
  <c r="S155" i="1"/>
  <c r="S154" i="1"/>
  <c r="S167" i="1"/>
  <c r="S153" i="1"/>
  <c r="S173" i="1"/>
  <c r="S165" i="1"/>
  <c r="S168" i="1"/>
  <c r="S143" i="1"/>
  <c r="S55" i="1"/>
  <c r="S26" i="1"/>
  <c r="S130" i="1"/>
  <c r="S116" i="1"/>
  <c r="S34" i="1"/>
  <c r="S132" i="1"/>
  <c r="S61" i="1"/>
  <c r="S77" i="1"/>
  <c r="S91" i="1"/>
  <c r="S105" i="1"/>
  <c r="S71" i="1"/>
  <c r="S57" i="1"/>
  <c r="S33" i="1"/>
  <c r="S62" i="1"/>
  <c r="S78" i="1"/>
  <c r="S92" i="1"/>
  <c r="S120" i="1"/>
  <c r="S40" i="1"/>
  <c r="S70" i="1"/>
  <c r="S86" i="1"/>
  <c r="S49" i="1"/>
  <c r="S48" i="1"/>
  <c r="S47" i="1"/>
  <c r="S32" i="1"/>
  <c r="S51" i="1"/>
  <c r="S133" i="1"/>
  <c r="S63" i="1"/>
  <c r="S79" i="1"/>
  <c r="S95" i="1"/>
  <c r="S121" i="1"/>
  <c r="S85" i="1"/>
  <c r="S38" i="1"/>
  <c r="S46" i="1"/>
  <c r="S31" i="1"/>
  <c r="S113" i="1"/>
  <c r="S64" i="1"/>
  <c r="S80" i="1"/>
  <c r="S96" i="1"/>
  <c r="S122" i="1"/>
  <c r="S136" i="1"/>
  <c r="S114" i="1"/>
  <c r="S43" i="1"/>
  <c r="S118" i="1"/>
  <c r="S45" i="1"/>
  <c r="S30" i="1"/>
  <c r="S139" i="1"/>
  <c r="S65" i="1"/>
  <c r="S81" i="1"/>
  <c r="S97" i="1"/>
  <c r="S123" i="1"/>
  <c r="S149" i="1"/>
  <c r="S66" i="1"/>
  <c r="S82" i="1"/>
  <c r="S98" i="1"/>
  <c r="S124" i="1"/>
  <c r="S42" i="1"/>
  <c r="S28" i="1"/>
  <c r="S94" i="1"/>
  <c r="S115" i="1"/>
  <c r="S44" i="1"/>
  <c r="S67" i="1"/>
  <c r="S83" i="1"/>
  <c r="S99" i="1"/>
  <c r="S127" i="1"/>
  <c r="S137" i="1"/>
  <c r="S148" i="1"/>
  <c r="S29" i="1"/>
  <c r="S27" i="1"/>
  <c r="S93" i="1"/>
  <c r="S52" i="1"/>
  <c r="S69" i="1"/>
  <c r="S84" i="1"/>
  <c r="S100" i="1"/>
  <c r="S128" i="1"/>
  <c r="S145" i="1"/>
  <c r="S144" i="1"/>
  <c r="S134" i="1"/>
  <c r="S25" i="1"/>
  <c r="S119" i="1"/>
  <c r="S72" i="1"/>
  <c r="S101" i="1"/>
  <c r="S37" i="1"/>
  <c r="S58" i="1"/>
  <c r="S74" i="1"/>
  <c r="S88" i="1"/>
  <c r="S102" i="1"/>
  <c r="S129" i="1"/>
  <c r="S56" i="1"/>
  <c r="S87" i="1"/>
  <c r="S141" i="1"/>
  <c r="S36" i="1"/>
  <c r="S125" i="1"/>
  <c r="S59" i="1"/>
  <c r="S75" i="1"/>
  <c r="S89" i="1"/>
  <c r="S103" i="1"/>
  <c r="S110" i="1"/>
  <c r="S39" i="1"/>
  <c r="S35" i="1"/>
  <c r="S131" i="1"/>
  <c r="S60" i="1"/>
  <c r="S76" i="1"/>
  <c r="S90" i="1"/>
  <c r="S117" i="1"/>
  <c r="S135" i="1"/>
  <c r="S111" i="1"/>
  <c r="S108" i="1"/>
  <c r="S138" i="1"/>
  <c r="S112" i="1"/>
  <c r="S15" i="1"/>
  <c r="S20" i="1"/>
  <c r="S142" i="1"/>
  <c r="S18" i="1"/>
  <c r="S126" i="1"/>
  <c r="S106" i="1"/>
  <c r="S109" i="1"/>
  <c r="S16" i="1"/>
  <c r="S17" i="1"/>
  <c r="S24" i="1"/>
  <c r="S19" i="1"/>
  <c r="S107" i="1"/>
  <c r="S104" i="1"/>
  <c r="S54" i="1"/>
  <c r="S73" i="1"/>
  <c r="S68" i="1"/>
  <c r="S50" i="1"/>
  <c r="S12" i="1"/>
  <c r="S53" i="1"/>
  <c r="S10" i="1"/>
  <c r="S11" i="1"/>
  <c r="S22" i="1"/>
  <c r="S6" i="1"/>
  <c r="S21" i="1"/>
  <c r="S3" i="1"/>
  <c r="S2" i="1"/>
  <c r="S8" i="1"/>
  <c r="S14" i="1"/>
  <c r="S13" i="1"/>
  <c r="S9" i="1"/>
  <c r="S5" i="1"/>
  <c r="S41" i="1"/>
  <c r="S7" i="1"/>
  <c r="S23" i="1"/>
  <c r="S4" i="1"/>
</calcChain>
</file>

<file path=xl/sharedStrings.xml><?xml version="1.0" encoding="utf-8"?>
<sst xmlns="http://schemas.openxmlformats.org/spreadsheetml/2006/main" count="2719" uniqueCount="506">
  <si>
    <t xml:space="preserve">Site </t>
  </si>
  <si>
    <t xml:space="preserve">Bâtiment </t>
  </si>
  <si>
    <t>Date</t>
  </si>
  <si>
    <t>Semaine</t>
  </si>
  <si>
    <t>Mois</t>
  </si>
  <si>
    <t>Année</t>
  </si>
  <si>
    <t xml:space="preserve">Demandeur </t>
  </si>
  <si>
    <t>Équipe</t>
  </si>
  <si>
    <t>Processus</t>
  </si>
  <si>
    <t>Poste/Machine</t>
  </si>
  <si>
    <t xml:space="preserve">Client </t>
  </si>
  <si>
    <t>Le reste</t>
  </si>
  <si>
    <t>Référence</t>
  </si>
  <si>
    <t>Heure début</t>
  </si>
  <si>
    <t>Heure fin</t>
  </si>
  <si>
    <t>Durée en :H</t>
  </si>
  <si>
    <t>Nbr d'équipe</t>
  </si>
  <si>
    <t>Lien</t>
  </si>
  <si>
    <t>Impact Productivité par client</t>
  </si>
  <si>
    <t>Sous-Famille Précise</t>
  </si>
  <si>
    <t>Description</t>
  </si>
  <si>
    <t>Service</t>
  </si>
  <si>
    <t>Traité par</t>
  </si>
  <si>
    <t xml:space="preserve">Validé par </t>
  </si>
  <si>
    <t>TEMARA</t>
  </si>
  <si>
    <t>TEM</t>
  </si>
  <si>
    <t>DAHAB</t>
  </si>
  <si>
    <t>NORMALE</t>
  </si>
  <si>
    <t>FERMETURE ULTRASON</t>
  </si>
  <si>
    <t>T4662-01</t>
  </si>
  <si>
    <t>ABB</t>
  </si>
  <si>
    <t>Défaut d'aspect / Finition</t>
  </si>
  <si>
    <t>Excès de bavure</t>
  </si>
  <si>
    <t>MAINTENANCE</t>
  </si>
  <si>
    <t>NAOUFEL</t>
  </si>
  <si>
    <t>Non-conformité structurelle</t>
  </si>
  <si>
    <t>Fissure</t>
  </si>
  <si>
    <t>SAMIRA</t>
  </si>
  <si>
    <t>SERTISSAGE GROSSE SECTION</t>
  </si>
  <si>
    <t>Pince hudraulique TR1462 T 402</t>
  </si>
  <si>
    <t>LECLANCHÉ</t>
  </si>
  <si>
    <t>LEC0000088</t>
  </si>
  <si>
    <t>Casse mécanique sur produit</t>
  </si>
  <si>
    <t>Tige de verrouillage cassée</t>
  </si>
  <si>
    <t>ANAS</t>
  </si>
  <si>
    <t>TEST</t>
  </si>
  <si>
    <t>T5008-19</t>
  </si>
  <si>
    <t>IES</t>
  </si>
  <si>
    <t>LE RESTE</t>
  </si>
  <si>
    <t>Tower</t>
  </si>
  <si>
    <t>Interruption flux opératoire</t>
  </si>
  <si>
    <t>Blocage à l'étape Carte module</t>
  </si>
  <si>
    <t>TECHNIQUE</t>
  </si>
  <si>
    <t>NAOUFAL + PAUL</t>
  </si>
  <si>
    <t>Défaut de plaquage du plaquage</t>
  </si>
  <si>
    <t>ABDELLAH/ANAS</t>
  </si>
  <si>
    <t>PO70032</t>
  </si>
  <si>
    <t>Blocage accès logiciel</t>
  </si>
  <si>
    <t>Problème du mot de passe</t>
  </si>
  <si>
    <t>IT</t>
  </si>
  <si>
    <t>KARIM</t>
  </si>
  <si>
    <t>Problème du plaquage</t>
  </si>
  <si>
    <t>TAMPOGRAPHIE</t>
  </si>
  <si>
    <t>T4680-01</t>
  </si>
  <si>
    <t>Usure / Dégradation outillage</t>
  </si>
  <si>
    <t>Taraudage foiré du support cliché</t>
  </si>
  <si>
    <t>Panne matériel informatique</t>
  </si>
  <si>
    <t>PC banc de test ne s'allume pas</t>
  </si>
  <si>
    <t>NAOUFEL /MOUJAHID</t>
  </si>
  <si>
    <t>BERRECHID</t>
  </si>
  <si>
    <t>Bât B</t>
  </si>
  <si>
    <t>OUMAIMA</t>
  </si>
  <si>
    <t>MATIN</t>
  </si>
  <si>
    <t xml:space="preserve">INTÉGRATION </t>
  </si>
  <si>
    <t>Intégration 1</t>
  </si>
  <si>
    <t>EDMI</t>
  </si>
  <si>
    <t>EDMES030CAD-00</t>
  </si>
  <si>
    <t>Échec lecture / Identification</t>
  </si>
  <si>
    <t xml:space="preserve">Pb de scan sur la carte display EDM830-00144 qty 20 cartes
Pb de scan sur la carte ICHIS EDM830-00140 qty 85 cartes </t>
  </si>
  <si>
    <t>ENCOURS DE TRAITEMENT PAR YOUNESS ADAM</t>
  </si>
  <si>
    <t xml:space="preserve">Intégration </t>
  </si>
  <si>
    <t>Manque de moyens de travail (chariots, chaises, bacs)</t>
  </si>
  <si>
    <t>DÉPANNAGE</t>
  </si>
  <si>
    <t>Incident édition / Marquage</t>
  </si>
  <si>
    <t>Manque d'étiquette d'intégration (erreur impression, saut lot)</t>
  </si>
  <si>
    <t>PRODUCTION</t>
  </si>
  <si>
    <t xml:space="preserve">GOTNI </t>
  </si>
  <si>
    <t xml:space="preserve">Dégrappage </t>
  </si>
  <si>
    <t>Rupture approvisionnement</t>
  </si>
  <si>
    <t>Manque de carte display EDM830-00144 (retard transport)</t>
  </si>
  <si>
    <t>SUPPLY</t>
  </si>
  <si>
    <t>BOUDRA</t>
  </si>
  <si>
    <t xml:space="preserve">TEST UFT </t>
  </si>
  <si>
    <t xml:space="preserve">Test UFT </t>
  </si>
  <si>
    <t>EDMS010BXD-10-BRITIS:</t>
  </si>
  <si>
    <t>Réglage technique / Maintenance</t>
  </si>
  <si>
    <t>Arrêt test UFT suite à l'intervention de service test</t>
  </si>
  <si>
    <t>AMINE/SAID</t>
  </si>
  <si>
    <t>TARIK</t>
  </si>
  <si>
    <t>APM</t>
  </si>
  <si>
    <t>TEST ICT</t>
  </si>
  <si>
    <t>Testeur ICT</t>
  </si>
  <si>
    <t>Conflit interface de test</t>
  </si>
  <si>
    <t>Pb lors du passage de la réf EDM830-00144 à l'ICT (interface)</t>
  </si>
  <si>
    <t>SAID</t>
  </si>
  <si>
    <t>Bât A</t>
  </si>
  <si>
    <t>ISMAIL</t>
  </si>
  <si>
    <t>TAKAYA-9400</t>
  </si>
  <si>
    <t>EMS</t>
  </si>
  <si>
    <t>EMS-156</t>
  </si>
  <si>
    <t>Défaillance électrique banc de  test</t>
  </si>
  <si>
    <t>Prob Relay on-test</t>
  </si>
  <si>
    <t>SLIMANE</t>
  </si>
  <si>
    <t>EMS-167</t>
  </si>
  <si>
    <t>Bug logiciel machine CMS</t>
  </si>
  <si>
    <t>Bug de la machine Takaya-9400</t>
  </si>
  <si>
    <t>INTERVENTION A DISTANCE
( ISMAIL )</t>
  </si>
  <si>
    <t xml:space="preserve">Test Fonctionnel </t>
  </si>
  <si>
    <t>MERCK</t>
  </si>
  <si>
    <t>MEMMERPF08040</t>
  </si>
  <si>
    <t>Dérive process (Nettoyage)</t>
  </si>
  <si>
    <t>Détection de 4 cartes successives en défaut (Index : 47)</t>
  </si>
  <si>
    <t xml:space="preserve">INTERVENTION DE ( SAID + ISMAIL : VALIDATION DE ADEL ) </t>
  </si>
  <si>
    <t xml:space="preserve">intégration </t>
  </si>
  <si>
    <t>Panne mécanique convoyage</t>
  </si>
  <si>
    <t>Dysfonctionnement de convoyeur de posage d'intégration</t>
  </si>
  <si>
    <t xml:space="preserve">SLIMANE </t>
  </si>
  <si>
    <t>KNIDAR</t>
  </si>
  <si>
    <t>NUIT</t>
  </si>
  <si>
    <t>CMS</t>
  </si>
  <si>
    <t>LIGNE 2</t>
  </si>
  <si>
    <t>EDM830-010-107BRTISH</t>
  </si>
  <si>
    <t>Changement de série (Setup)</t>
  </si>
  <si>
    <t>Recherche Bobine + chargement (Mq Séquenceur)</t>
  </si>
  <si>
    <t>AYOUB</t>
  </si>
  <si>
    <t>Recherche Bobine + chargement (Manque séquenceur)</t>
  </si>
  <si>
    <t>MEHDI</t>
  </si>
  <si>
    <t>BRAHIM</t>
  </si>
  <si>
    <t>KHADIM</t>
  </si>
  <si>
    <t>Recherche Bobine + chargement (Manque Séquenceur)</t>
  </si>
  <si>
    <t>PILOTE de ligne en Formation</t>
  </si>
  <si>
    <t>FORMATION</t>
  </si>
  <si>
    <t>Remplacement de poste</t>
  </si>
  <si>
    <t>PILOTE de ligne en Formation (remplacement du départ)</t>
  </si>
  <si>
    <t>Coupure électrique</t>
  </si>
  <si>
    <t>BATAR</t>
  </si>
  <si>
    <t>Basculement ligne sur ES12B (Mq Feeders)</t>
  </si>
  <si>
    <t>HOUSSAM</t>
  </si>
  <si>
    <t>LIGNE 3</t>
  </si>
  <si>
    <t>Basculement ligne sur ES12B (Manque feeders)</t>
  </si>
  <si>
    <t xml:space="preserve">POSTE LASER </t>
  </si>
  <si>
    <t xml:space="preserve">Poste Laser </t>
  </si>
  <si>
    <t>EDMES010BAU10</t>
  </si>
  <si>
    <t>Erreur de sérialisation</t>
  </si>
  <si>
    <t>9 Produits ayant le même marquage ASSET TAG</t>
  </si>
  <si>
    <t>ADAM</t>
  </si>
  <si>
    <t>SALAH</t>
  </si>
  <si>
    <t>Dégradation de convoyeur de posage d'intégration</t>
  </si>
  <si>
    <t>FINITION</t>
  </si>
  <si>
    <t>Finition</t>
  </si>
  <si>
    <t>EDM830-010-107BRTIS:</t>
  </si>
  <si>
    <t>Incident environnemental</t>
  </si>
  <si>
    <t>Présence d'eau sur les postes de travail</t>
  </si>
  <si>
    <t>EDM830-013-152</t>
  </si>
  <si>
    <t>Perte efficience changement</t>
  </si>
  <si>
    <t>Déchargement ED10B et chargement ES12B (prog non optimisé)</t>
  </si>
  <si>
    <t>ABOUELWAFA+KNIDAR+KHADIM</t>
  </si>
  <si>
    <t>Écart stock physique/système</t>
  </si>
  <si>
    <t>Décalage composants + écart quantité Cogiscan (48% prod)</t>
  </si>
  <si>
    <t>Programme non optimisé CMS + écart Cogiscan (65% prod)</t>
  </si>
  <si>
    <t>LATIFA</t>
  </si>
  <si>
    <t>ZONE EMS</t>
  </si>
  <si>
    <t>Finition EMS</t>
  </si>
  <si>
    <t>EMSEL-628</t>
  </si>
  <si>
    <t>Coupure d'électricité</t>
  </si>
  <si>
    <t>Coupure électrique sur ateliers Bâtiment A</t>
  </si>
  <si>
    <t>ELMIR</t>
  </si>
  <si>
    <t>TRAVERSSANT</t>
  </si>
  <si>
    <t>vague</t>
  </si>
  <si>
    <t>TEST TAKAYA</t>
  </si>
  <si>
    <t>Takaya-9400</t>
  </si>
  <si>
    <t>CP</t>
  </si>
  <si>
    <t>GRE6159188870-R</t>
  </si>
  <si>
    <t>Takaya-9411</t>
  </si>
  <si>
    <t>CEGRE6159197042-R</t>
  </si>
  <si>
    <t>Manque des PCB ES-12B</t>
  </si>
  <si>
    <t>ABOUDA</t>
  </si>
  <si>
    <t>Mise au point logicielle</t>
  </si>
  <si>
    <t>Débogage de programme ICT ES12B</t>
  </si>
  <si>
    <t>TEST :I-POT</t>
  </si>
  <si>
    <t>Test :i-pot</t>
  </si>
  <si>
    <t>Panne matériel sécurité élec</t>
  </si>
  <si>
    <t>Testeur Hi-pot en arrêt</t>
  </si>
  <si>
    <t>DÉGRAPPAGE</t>
  </si>
  <si>
    <t>Dégrappage</t>
  </si>
  <si>
    <t>Déploiement logiciel</t>
  </si>
  <si>
    <t>Installation Programme 12B</t>
  </si>
  <si>
    <t>OMAR</t>
  </si>
  <si>
    <t xml:space="preserve"> TEST BFT</t>
  </si>
  <si>
    <t>Testeur BFT</t>
  </si>
  <si>
    <t>Adaptation pneumatique</t>
  </si>
  <si>
    <t>Changement câbles air pour connecter testeur 12B</t>
  </si>
  <si>
    <t>AMINE</t>
  </si>
  <si>
    <t>Taux de rejet excessif</t>
  </si>
  <si>
    <t>Plusieurs positions cartes fail</t>
  </si>
  <si>
    <t>Panne applicative banc</t>
  </si>
  <si>
    <t>Disfonctionnement de (tester application SUFT)</t>
  </si>
  <si>
    <t>SAID+AMINE</t>
  </si>
  <si>
    <t>Set-up ligne ES10 + recherche bobines</t>
  </si>
  <si>
    <t>Lancement Nouvelle Réf (Validation)</t>
  </si>
  <si>
    <t>Validation ES10 + recherche bobines</t>
  </si>
  <si>
    <t>Recherche et changement bobines</t>
  </si>
  <si>
    <t>LIGNE 1</t>
  </si>
  <si>
    <t>SERAP</t>
  </si>
  <si>
    <t>SERRL5B</t>
  </si>
  <si>
    <t>Incident mécanique machine</t>
  </si>
  <si>
    <t>Blocage du support des tables 3 et 4</t>
  </si>
  <si>
    <t>ABDELHAMID</t>
  </si>
  <si>
    <t>DRISS</t>
  </si>
  <si>
    <t xml:space="preserve">FINITION </t>
  </si>
  <si>
    <t>finition 1/2</t>
  </si>
  <si>
    <t>TESTEUR BFT</t>
  </si>
  <si>
    <t>Temps mort / Attente expert</t>
  </si>
  <si>
    <t>Attente service technique</t>
  </si>
  <si>
    <t>INTEGRATION</t>
  </si>
  <si>
    <t>integration</t>
  </si>
  <si>
    <t>EDMES012BAD-02</t>
  </si>
  <si>
    <t>Goulot d'étranglement test</t>
  </si>
  <si>
    <t>Attente BFT</t>
  </si>
  <si>
    <t>EMSEJ-244</t>
  </si>
  <si>
    <t>Instabilité matériel (Pointes)</t>
  </si>
  <si>
    <t>Taux faux défaut élevé lié au probe 3</t>
  </si>
  <si>
    <t>Débogage programme ICT</t>
  </si>
  <si>
    <t>Recherche composant + changement bobines + déchargement MSL</t>
  </si>
  <si>
    <t>ABDERRAHMANE+ZOUHAIR</t>
  </si>
  <si>
    <t>TEST CONFIG</t>
  </si>
  <si>
    <t>Test Config</t>
  </si>
  <si>
    <t>EDMES012BAR00</t>
  </si>
  <si>
    <t>Attente validation sampling + changement de réf</t>
  </si>
  <si>
    <t>Testeur BFT/integration</t>
  </si>
  <si>
    <t>Panne matérielle banc</t>
  </si>
  <si>
    <t>Testeur BFT DISPLAY 1 ne fonctionne pas</t>
  </si>
  <si>
    <t>SAID (À DISTANCE)</t>
  </si>
  <si>
    <t>laser/config/emballage</t>
  </si>
  <si>
    <t>Déséquilibre de flux aval</t>
  </si>
  <si>
    <t>Postes config et emballage impactés par arrêt BFT</t>
  </si>
  <si>
    <t>Attente validation de sampling</t>
  </si>
  <si>
    <t>EDMES012BAR01</t>
  </si>
  <si>
    <t>Attente validation sampling</t>
  </si>
  <si>
    <t>integration/calibration</t>
  </si>
  <si>
    <t>Débogage du programme BFT display 2</t>
  </si>
  <si>
    <t>Indisponibilité excessive</t>
  </si>
  <si>
    <t>Taux de pannes élevé</t>
  </si>
  <si>
    <t>UFT/:i-pot/calibration</t>
  </si>
  <si>
    <t>Panne logicielle testeur</t>
  </si>
  <si>
    <t>L'application du testeur UFT ne fonctionne pas</t>
  </si>
  <si>
    <t>Changement bobines + recherche composant</t>
  </si>
  <si>
    <t>Contrainte environnementale</t>
  </si>
  <si>
    <t xml:space="preserve">Problème humidité ICT </t>
  </si>
  <si>
    <t>SLIMANE/BATAR</t>
  </si>
  <si>
    <t>Testeur BFT/DISPLAY 2</t>
  </si>
  <si>
    <t>Défaillance réseau pneumatique</t>
  </si>
  <si>
    <t>Tuyau air dégradé</t>
  </si>
  <si>
    <t>INTEGRATION/UFT</t>
  </si>
  <si>
    <t>Retard lancement test</t>
  </si>
  <si>
    <t>Attente démarrage BFT</t>
  </si>
  <si>
    <t>Panne curative machine</t>
  </si>
  <si>
    <t>Test ICT en panne</t>
  </si>
  <si>
    <t>EDMES012BAXBA</t>
  </si>
  <si>
    <t>Attent validation nouvelle reference 12B</t>
  </si>
  <si>
    <t>Basculement de reference 12B à 10B</t>
  </si>
  <si>
    <t>GRE619188870-R</t>
  </si>
  <si>
    <t>Défaillance méca répétitive</t>
  </si>
  <si>
    <t>Courroie du convoyeur sortie (Arrets Réccurents)</t>
  </si>
  <si>
    <t>LAHMIDI DRISS</t>
  </si>
  <si>
    <t>Attente integration et sampling</t>
  </si>
  <si>
    <t/>
  </si>
  <si>
    <t>Attente sampling</t>
  </si>
  <si>
    <t>LIGNE2</t>
  </si>
  <si>
    <t>Arrêt énergie nocturne</t>
  </si>
  <si>
    <t>Coupure électrique (1 heure : 22h à 23h)</t>
  </si>
  <si>
    <t>ABDELHAMID/BATAR</t>
  </si>
  <si>
    <t>Coupure réseau informatique</t>
  </si>
  <si>
    <t>Problème communication lié au réseau</t>
  </si>
  <si>
    <t>Manque composant : EDM820-00017 (afficheur)</t>
  </si>
  <si>
    <t xml:space="preserve">BOUDRA </t>
  </si>
  <si>
    <t>Changement bobines + recherche + manque composant</t>
  </si>
  <si>
    <t xml:space="preserve">JADYANI </t>
  </si>
  <si>
    <t>Recherche composants + changement + pilote en formation</t>
  </si>
  <si>
    <t>YOUNESS</t>
  </si>
  <si>
    <t>Recherche composants + changement + manque composant</t>
  </si>
  <si>
    <t>CÂBALGE</t>
  </si>
  <si>
    <t>Câbalge</t>
  </si>
  <si>
    <t>NA</t>
  </si>
  <si>
    <t>Audit / Standard 5S</t>
  </si>
  <si>
    <t>Visite CAF - Rangement 5S</t>
  </si>
  <si>
    <t>ORGANISATION</t>
  </si>
  <si>
    <t>Test</t>
  </si>
  <si>
    <t>Réorganisation physique</t>
  </si>
  <si>
    <t>Déplacement d'atelier</t>
  </si>
  <si>
    <t>SOUFIANE/
NAWFEL</t>
  </si>
  <si>
    <t>PRÉPARATION</t>
  </si>
  <si>
    <t>Preparation hors carte</t>
  </si>
  <si>
    <t>test diélectrique
(T4676-01)</t>
  </si>
  <si>
    <t>BRASAGE</t>
  </si>
  <si>
    <t>Brasage</t>
  </si>
  <si>
    <t>FERMETURE</t>
  </si>
  <si>
    <t>Fermeture</t>
  </si>
  <si>
    <t>TOMPGRAPHIE</t>
  </si>
  <si>
    <t>Tompgraphie</t>
  </si>
  <si>
    <t>Problème d'alimentation sur le banc de test déilectrique</t>
  </si>
  <si>
    <t>ANAS/
NAWFEL</t>
  </si>
  <si>
    <t>BADIA</t>
  </si>
  <si>
    <t xml:space="preserve">NORMALE </t>
  </si>
  <si>
    <t>MONTAGE INTEGRATION</t>
  </si>
  <si>
    <t>Montage integration</t>
  </si>
  <si>
    <t>RATIER- MERCK HORIBA</t>
  </si>
  <si>
    <t xml:space="preserve">BADIA </t>
  </si>
  <si>
    <t>SOLUSCOPE</t>
  </si>
  <si>
    <t>Manque accessoires de pose</t>
  </si>
  <si>
    <t>Arrêt postes (manque boutons ESD et alimentation)</t>
  </si>
  <si>
    <t xml:space="preserve">MATIN </t>
  </si>
  <si>
    <t>TEST FONCTIONNEL</t>
  </si>
  <si>
    <t>Programmation carte 
EMSEJ-099B/B</t>
  </si>
  <si>
    <t>EMSEJ-099B/B</t>
  </si>
  <si>
    <t>Anomalie alim programmateur</t>
  </si>
  <si>
    <t>Programmer supply voltage is out of valid range</t>
  </si>
  <si>
    <t>ILHAM</t>
  </si>
  <si>
    <t>Manque du composant EDM180-00612</t>
  </si>
  <si>
    <t>DEBEJ-184A</t>
  </si>
  <si>
    <t>Accident travail / Incident élec</t>
  </si>
  <si>
    <t>Accident maintenance (chute) causant coupure électricité</t>
  </si>
  <si>
    <t>SOUS TRAITANCE</t>
  </si>
  <si>
    <t>Déchargement EDMI-BRITCH + chargement 12B (mq feeders)</t>
  </si>
  <si>
    <t>AYOUB/FARAH</t>
  </si>
  <si>
    <t>Basculement ES12B (Setup complet : DEK, feeders, buses...)</t>
  </si>
  <si>
    <t>Recherche + changement bobines (manque séquenceur)</t>
  </si>
  <si>
    <t>ABDERRAHMANE</t>
  </si>
  <si>
    <t>NIUT</t>
  </si>
  <si>
    <t>Basculement EDMI-BRTISH (Planification)</t>
  </si>
  <si>
    <t>Problème d'alimentation sur le banc de test diélectrique</t>
  </si>
  <si>
    <t>Test fonctionnel
(T4675-01)</t>
  </si>
  <si>
    <t>Perte intégrité données test</t>
  </si>
  <si>
    <t>Corruption du fichier source (** .seq**)</t>
  </si>
  <si>
    <t>BFT</t>
  </si>
  <si>
    <t>Défaut paramétrage logiciel</t>
  </si>
  <si>
    <t>Erreur configuration</t>
  </si>
  <si>
    <t>Incident traçabilité système</t>
  </si>
  <si>
    <t>Problème COGISCAN (étiquette non configurée) 1H20</t>
  </si>
  <si>
    <t>Délai technique externe</t>
  </si>
  <si>
    <t>Retard de réglage mire écran sérigraphié (à distance)</t>
  </si>
  <si>
    <t>Validation table + 1ère carte (Planification)</t>
  </si>
  <si>
    <t>Panne pièce d'usure banc</t>
  </si>
  <si>
    <t>Relay probe 3</t>
  </si>
  <si>
    <t>Défaut traitement surface</t>
  </si>
  <si>
    <t>Réparation curative</t>
  </si>
  <si>
    <t>Montage des piéces de rechange par la maintenance</t>
  </si>
  <si>
    <t>NAWFEL/SAID</t>
  </si>
  <si>
    <t>Incident remise en service</t>
  </si>
  <si>
    <t>Démarrage machine tampo après réparation (fuites)</t>
  </si>
  <si>
    <t>Test Fonctionnel Carte ENS2005345</t>
  </si>
  <si>
    <t>ENSTO-NOVEXIA</t>
  </si>
  <si>
    <t>ENS2005345</t>
  </si>
  <si>
    <t>Instabilité équipement contrôle</t>
  </si>
  <si>
    <t>Détéction du Faux défaut G4*T4 (Impact OTD)</t>
  </si>
  <si>
    <t>SLIMANE + YOUNES</t>
  </si>
  <si>
    <t>Attente validation sampling (Manques et Nvx démarrage)</t>
  </si>
  <si>
    <t>Berrechid</t>
  </si>
  <si>
    <t>Knidar</t>
  </si>
  <si>
    <t>icident mecanique machine</t>
  </si>
  <si>
    <t>blocage du magasin (pb pneumatique)</t>
  </si>
  <si>
    <t>Batar</t>
  </si>
  <si>
    <t>Validé avec Batar</t>
  </si>
  <si>
    <t>Manque officiel composant résistance EDM180-00597</t>
  </si>
  <si>
    <t>DISTECH</t>
  </si>
  <si>
    <t>DISXCRT0211</t>
  </si>
  <si>
    <t>Aménagement poste travail</t>
  </si>
  <si>
    <t>Déplacement de la machine pour la pose de résine ESD</t>
  </si>
  <si>
    <t>Erreur manipulation logiciel</t>
  </si>
  <si>
    <t>Ecrasement du programme de test</t>
  </si>
  <si>
    <t xml:space="preserve">ILHAM </t>
  </si>
  <si>
    <t xml:space="preserve">TEST FONCTIONNEL </t>
  </si>
  <si>
    <t>Test Fonctionnel 
Carte SERRL5B</t>
  </si>
  <si>
    <t>Anomalie fonctionnelle produit</t>
  </si>
  <si>
    <t>Défaut Led 3 reste Allumée (Risque S06)</t>
  </si>
  <si>
    <t>CABLAGE</t>
  </si>
  <si>
    <t>Coffret  S4</t>
  </si>
  <si>
    <t>Manquant officiel du composant SOLCAB2130056</t>
  </si>
  <si>
    <t>Integration</t>
  </si>
  <si>
    <t>Problème réseau bâtiment B (Arrêt total)</t>
  </si>
  <si>
    <t>OTHMANE</t>
  </si>
  <si>
    <t>Visite ABB - Rangement 5S</t>
  </si>
  <si>
    <t>Visite ABB - Baisse cadence suite changement process</t>
  </si>
  <si>
    <t>Etamage</t>
  </si>
  <si>
    <t>Envoi bain étamage à Temara pour préparer Visite ABB  sans avertir (Mq backup)</t>
  </si>
  <si>
    <t>MOJAHID</t>
  </si>
  <si>
    <t>TRAVERSANT</t>
  </si>
  <si>
    <t>Manque officiel résistance EDM180-00597 (Mq cartes)</t>
  </si>
  <si>
    <t>Basculement ES10B (Pb Planification feeders)</t>
  </si>
  <si>
    <t>EMBALLAGE</t>
  </si>
  <si>
    <t>Emballage</t>
  </si>
  <si>
    <t>Maintenance informatique</t>
  </si>
  <si>
    <t>Intervention sur le réseau</t>
  </si>
  <si>
    <t>RAFIQ</t>
  </si>
  <si>
    <t>Bat B</t>
  </si>
  <si>
    <t>Coupure réseau</t>
  </si>
  <si>
    <t>2026-S04</t>
  </si>
  <si>
    <t>2026-M01</t>
  </si>
  <si>
    <t>Problème communication (intervention réseau)</t>
  </si>
  <si>
    <t>Alimentation Bobines à la CMS</t>
  </si>
  <si>
    <t>Changement conditionnement bobine/tube (EDMI25-00028)</t>
  </si>
  <si>
    <t>ACHAT</t>
  </si>
  <si>
    <t>ZOHRA</t>
  </si>
  <si>
    <t xml:space="preserve">NUIT </t>
  </si>
  <si>
    <t>Nettoyage / Entretien préventif</t>
  </si>
  <si>
    <t>Problème buses skippées (nettoyage + feeders)</t>
  </si>
  <si>
    <t>Conflit système / Format</t>
  </si>
  <si>
    <t>Pb scan code EDM185-00006 suite modification</t>
  </si>
  <si>
    <t>ZOHRA+KNIDAR</t>
  </si>
  <si>
    <t>Validé par  zohra</t>
  </si>
  <si>
    <t>ZEPEJ-156A/A</t>
  </si>
  <si>
    <t>Coupure d'électricté</t>
  </si>
  <si>
    <t xml:space="preserve">EJ-186 </t>
  </si>
  <si>
    <t>EJ-157</t>
  </si>
  <si>
    <t>SERRL5A-sans inclino</t>
  </si>
  <si>
    <t>EDM830-00144</t>
  </si>
  <si>
    <t>Hanane</t>
  </si>
  <si>
    <t>TRAD</t>
  </si>
  <si>
    <t>Manquant officiel sur CMS switch EDM185-00007</t>
  </si>
  <si>
    <t>Boudra</t>
  </si>
  <si>
    <t>MEMMERPF09103</t>
  </si>
  <si>
    <t>Manque de carte dans le IN Takaya suite au Manquant du composant Trad : SWITCHING BLOC H.T. (TDK)</t>
  </si>
  <si>
    <t>EDM830-010-107</t>
  </si>
  <si>
    <t>Problème communication</t>
  </si>
  <si>
    <t>Problème communication entre cogiscan et Panacim (traçabilité)</t>
  </si>
  <si>
    <t>Validé par rafiq</t>
  </si>
  <si>
    <t>Adam</t>
  </si>
  <si>
    <t>Validé par Adam</t>
  </si>
  <si>
    <t>un dysfonctionnement au niveau de l'interface 6mm Ressort,</t>
  </si>
  <si>
    <t>NAWFEL/ANAS</t>
  </si>
  <si>
    <t>NAWFEL</t>
  </si>
  <si>
    <t>knidar</t>
  </si>
  <si>
    <t>Matin</t>
  </si>
  <si>
    <t>Erreur de communication</t>
  </si>
  <si>
    <t>Manque officiel composant EDM185-00007</t>
  </si>
  <si>
    <t>Test Fonctionnel</t>
  </si>
  <si>
    <t>Test Fonctionnel CHUBB</t>
  </si>
  <si>
    <t>CHUBB</t>
  </si>
  <si>
    <t>CHUCE70057-2</t>
  </si>
  <si>
    <t>Rupture approvionnement</t>
  </si>
  <si>
    <t xml:space="preserve">Présence plusieurs Manquants </t>
  </si>
  <si>
    <t>Expiration de la licence du logiciel ABB</t>
  </si>
  <si>
    <t>FINITION &amp;  INTEGRATION</t>
  </si>
  <si>
    <t>Retard alimentation des cartes  EDM830-010-107 de la part du magasin</t>
  </si>
  <si>
    <t>Validé par EL MOKHTAR</t>
  </si>
  <si>
    <t>Temps Gamme Moyen par mois pour le client</t>
  </si>
  <si>
    <t>Temps de présence mensuel Moyen du site (Tout projet confendu, Témara seule, Berrechid seul)</t>
  </si>
  <si>
    <t>Poids par client</t>
  </si>
  <si>
    <t>Temps d'ouverture Moyen/Mois pour 1 Shift</t>
  </si>
  <si>
    <t>Temps d'arrêt</t>
  </si>
  <si>
    <t>Temara</t>
  </si>
  <si>
    <t>Leclanché</t>
  </si>
  <si>
    <t>Soluscope</t>
  </si>
  <si>
    <t>Alstom</t>
  </si>
  <si>
    <t>SOWEE</t>
  </si>
  <si>
    <t>(Plusieurs éléments)</t>
  </si>
  <si>
    <t>Étiquettes de lignes</t>
  </si>
  <si>
    <t>Somme de Durée en :H</t>
  </si>
  <si>
    <t>Total général</t>
  </si>
  <si>
    <t>2026-S01</t>
  </si>
  <si>
    <t>2026-S02</t>
  </si>
  <si>
    <t>2026-S03</t>
  </si>
  <si>
    <t>(Tous)</t>
  </si>
  <si>
    <t>Étiquettes de colonnes</t>
  </si>
  <si>
    <t>2025-S53</t>
  </si>
  <si>
    <t>2025-S52</t>
  </si>
  <si>
    <t>Somme de Impact Productivité par client</t>
  </si>
  <si>
    <t>2025-S51</t>
  </si>
  <si>
    <t>2025-S50</t>
  </si>
  <si>
    <t>2025-S49</t>
  </si>
  <si>
    <t>Oumaima</t>
  </si>
  <si>
    <t>Témara</t>
  </si>
  <si>
    <t>Salah</t>
  </si>
  <si>
    <t>Nuit</t>
  </si>
  <si>
    <t>Tarik</t>
  </si>
  <si>
    <t>Normale</t>
  </si>
  <si>
    <t>Ismail</t>
  </si>
  <si>
    <t>Latifa</t>
  </si>
  <si>
    <t>Rajaa</t>
  </si>
  <si>
    <t>Nabil</t>
  </si>
  <si>
    <t>Khadim</t>
  </si>
  <si>
    <t>Mounir</t>
  </si>
  <si>
    <t>Anssim</t>
  </si>
  <si>
    <t>Aziza</t>
  </si>
  <si>
    <t>Adel</t>
  </si>
  <si>
    <t>Meryem</t>
  </si>
  <si>
    <t>Nait Aiss</t>
  </si>
  <si>
    <t>Toufiq</t>
  </si>
  <si>
    <t>Dahab</t>
  </si>
  <si>
    <t>Badia</t>
  </si>
  <si>
    <t>Anass</t>
  </si>
  <si>
    <t>Samira</t>
  </si>
  <si>
    <t>2026-S05</t>
  </si>
  <si>
    <t>Formation</t>
  </si>
  <si>
    <t>Mauvais plaquage ABB</t>
  </si>
  <si>
    <t>Manque de moyens de travail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</si>
</sst>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0"/>
    <numFmt numFmtId="166" formatCode="dd/mm/yy;@"/>
  </numFmts>
  <fonts count="23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4"/>
      <name val="Aptos Narrow"/>
      <family val="2"/>
    </font>
    <font>
      <sz val="14"/>
      <color theme="1"/>
      <name val="Aptos Narrow"/>
      <family val="2"/>
    </font>
    <font>
      <sz val="14"/>
      <color theme="1"/>
      <name val="Calibri"/>
      <family val="2"/>
      <scheme val="minor"/>
    </font>
    <font>
      <sz val="12"/>
      <color theme="1"/>
      <name val="Aptos Narrow"/>
      <family val="2"/>
    </font>
    <font>
      <sz val="12"/>
      <color rgb="FF000000"/>
      <name val="Aptos"/>
      <family val="2"/>
    </font>
    <font>
      <b/>
      <sz val="11"/>
      <color theme="1"/>
      <name val="Aptos Narrow"/>
      <family val="2"/>
    </font>
    <font>
      <b/>
      <sz val="12"/>
      <color theme="1"/>
      <name val="Aptos Narrow"/>
      <family val="2"/>
    </font>
    <font>
      <b/>
      <sz val="12"/>
      <color theme="4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rgb="FF333333"/>
      <name val="Segoe UI"/>
      <family val="2"/>
    </font>
    <font>
      <b/>
      <sz val="9"/>
      <color rgb="FF333333"/>
      <name val="Segoe UI"/>
      <family val="2"/>
    </font>
    <font>
      <sz val="11"/>
      <color rgb="FF242424"/>
      <name val="Aptos Narrow"/>
      <charset val="1"/>
    </font>
    <font>
      <sz val="11"/>
      <color rgb="FF000000"/>
      <name val="Aptos"/>
      <charset val="1"/>
    </font>
    <font>
      <sz val="12"/>
      <color theme="1"/>
      <name val="Aptos Narrow"/>
    </font>
    <font>
      <sz val="11"/>
      <color theme="1"/>
      <name val="Aptos Narrow"/>
    </font>
    <font>
      <sz val="12"/>
      <color rgb="FF000000"/>
      <name val="Aptos"/>
      <charset val="1"/>
    </font>
    <font>
      <sz val="11"/>
      <color rgb="FF000000"/>
      <name val="Aptos"/>
      <family val="2"/>
    </font>
    <font>
      <b/>
      <sz val="12"/>
      <color theme="4"/>
      <name val="Aptos Narrow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pivotButton="1"/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1" fillId="0" borderId="5" xfId="0" applyFont="1" applyBorder="1" applyAlignment="1">
      <alignment horizontal="center" vertical="center" wrapText="1"/>
    </xf>
    <xf numFmtId="9" fontId="1" fillId="2" borderId="4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2" fontId="1" fillId="2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1" xfId="0" applyNumberFormat="1" applyBorder="1" applyAlignment="1">
      <alignment horizontal="center" vertical="center"/>
    </xf>
    <xf numFmtId="0" fontId="13" fillId="0" borderId="1" xfId="0" pivotButton="1" applyFont="1" applyBorder="1"/>
    <xf numFmtId="164" fontId="13" fillId="0" borderId="1" xfId="0" applyNumberFormat="1" applyFont="1" applyBorder="1" applyAlignment="1">
      <alignment horizontal="center" vertical="center"/>
    </xf>
    <xf numFmtId="0" fontId="13" fillId="0" borderId="1" xfId="0" pivotButton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1" fontId="0" fillId="0" borderId="0" xfId="0" applyNumberFormat="1"/>
    <xf numFmtId="0" fontId="1" fillId="7" borderId="2" xfId="0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65" fontId="0" fillId="0" borderId="0" xfId="0" applyNumberFormat="1"/>
    <xf numFmtId="0" fontId="7" fillId="7" borderId="2" xfId="0" applyFont="1" applyFill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64" fontId="0" fillId="0" borderId="0" xfId="0" applyNumberFormat="1"/>
    <xf numFmtId="0" fontId="0" fillId="0" borderId="1" xfId="0" applyBorder="1" applyAlignment="1">
      <alignment horizontal="left" indent="1"/>
    </xf>
    <xf numFmtId="0" fontId="13" fillId="0" borderId="1" xfId="0" applyFont="1" applyBorder="1" applyAlignment="1">
      <alignment horizontal="left" indent="1"/>
    </xf>
    <xf numFmtId="0" fontId="13" fillId="0" borderId="1" xfId="0" applyFont="1" applyBorder="1" applyAlignment="1">
      <alignment horizontal="left"/>
    </xf>
    <xf numFmtId="0" fontId="0" fillId="0" borderId="4" xfId="0" pivotButton="1" applyBorder="1"/>
    <xf numFmtId="0" fontId="0" fillId="0" borderId="4" xfId="0" applyBorder="1"/>
    <xf numFmtId="0" fontId="0" fillId="0" borderId="1" xfId="0" applyBorder="1" applyAlignment="1">
      <alignment horizontal="left" indent="2"/>
    </xf>
    <xf numFmtId="0" fontId="13" fillId="0" borderId="1" xfId="0" applyFont="1" applyBorder="1" applyAlignment="1">
      <alignment horizontal="left" indent="2"/>
    </xf>
    <xf numFmtId="0" fontId="16" fillId="0" borderId="2" xfId="0" applyFont="1" applyBorder="1"/>
    <xf numFmtId="0" fontId="0" fillId="0" borderId="2" xfId="0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20" fontId="1" fillId="0" borderId="2" xfId="0" applyNumberFormat="1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1" fontId="18" fillId="7" borderId="2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166" fontId="8" fillId="2" borderId="2" xfId="0" applyNumberFormat="1" applyFont="1" applyFill="1" applyBorder="1" applyAlignment="1">
      <alignment horizontal="center" vertical="center"/>
    </xf>
    <xf numFmtId="14" fontId="8" fillId="7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14" fontId="5" fillId="7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20" fontId="5" fillId="0" borderId="2" xfId="0" applyNumberFormat="1" applyFont="1" applyBorder="1" applyAlignment="1">
      <alignment horizontal="center" vertical="center" wrapText="1"/>
    </xf>
    <xf numFmtId="2" fontId="9" fillId="7" borderId="2" xfId="0" applyNumberFormat="1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7" borderId="2" xfId="0" applyNumberFormat="1" applyFont="1" applyFill="1" applyBorder="1" applyAlignment="1">
      <alignment horizontal="center" vertical="center" wrapText="1"/>
    </xf>
    <xf numFmtId="10" fontId="9" fillId="7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left" wrapText="1"/>
    </xf>
    <xf numFmtId="0" fontId="1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1" fillId="6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166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wrapText="1"/>
    </xf>
    <xf numFmtId="0" fontId="12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top" wrapText="1"/>
    </xf>
    <xf numFmtId="0" fontId="14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166" fontId="1" fillId="3" borderId="2" xfId="0" applyNumberFormat="1" applyFont="1" applyFill="1" applyBorder="1" applyAlignment="1">
      <alignment horizontal="center" vertical="center" wrapText="1"/>
    </xf>
    <xf numFmtId="1" fontId="1" fillId="7" borderId="2" xfId="0" applyNumberFormat="1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21" fillId="4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6" fillId="0" borderId="0" xfId="0" applyFont="1"/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2" fontId="22" fillId="7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92">
    <dxf>
      <numFmt numFmtId="165" formatCode="0.000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alignment horizontal="center"/>
    </dxf>
    <dxf>
      <alignment horizontal="center"/>
    </dxf>
    <dxf>
      <numFmt numFmtId="164" formatCode="0.0"/>
    </dxf>
    <dxf>
      <numFmt numFmtId="164" formatCode="0.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64" formatCode="0.0"/>
    </dxf>
    <dxf>
      <numFmt numFmtId="164" formatCode="0.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64" formatCode="0.0"/>
    </dxf>
    <dxf>
      <numFmt numFmtId="164" formatCode="0.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[Suivi des arrêts production Berrechid 30-01-2026.xlsx]Arrêt par Département (2)!Tableau croisé dynamique1</c:name>
    <c:fmtId val="6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Perte en H par Service par site</a:t>
            </a:r>
          </a:p>
        </c:rich>
      </c:tx>
      <c:layout>
        <c:manualLayout>
          <c:xMode val="edge"/>
          <c:yMode val="edge"/>
          <c:x val="0.31290079238907487"/>
          <c:y val="2.926509186351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'Arrêt par Département (2)'!$B$4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'Arrêt par Département (2)'!$A$5:$A$26</c:f>
              <c:multiLvlStrCache>
                <c:ptCount val="18"/>
                <c:lvl>
                  <c:pt idx="0">
                    <c:v>Anomalie fonctionnelle produit</c:v>
                  </c:pt>
                  <c:pt idx="1">
                    <c:v>Contrainte environnementale</c:v>
                  </c:pt>
                  <c:pt idx="2">
                    <c:v>Instabilité équipement contrôle</c:v>
                  </c:pt>
                  <c:pt idx="3">
                    <c:v>Panne curative machine</c:v>
                  </c:pt>
                  <c:pt idx="4">
                    <c:v>Nettoyage / Entretien préventif</c:v>
                  </c:pt>
                  <c:pt idx="5">
                    <c:v>Défaillance méca répétitive</c:v>
                  </c:pt>
                  <c:pt idx="6">
                    <c:v>Défaillance réseau pneumatique</c:v>
                  </c:pt>
                  <c:pt idx="7">
                    <c:v>Arrêt énergie nocturne</c:v>
                  </c:pt>
                  <c:pt idx="8">
                    <c:v>Aménagement poste travail</c:v>
                  </c:pt>
                  <c:pt idx="9">
                    <c:v>Panne pièce d'usure banc</c:v>
                  </c:pt>
                  <c:pt idx="10">
                    <c:v>Accident travail / Incident élec</c:v>
                  </c:pt>
                  <c:pt idx="11">
                    <c:v>icident mecanique machine</c:v>
                  </c:pt>
                  <c:pt idx="12">
                    <c:v>Retard lancement test</c:v>
                  </c:pt>
                  <c:pt idx="13">
                    <c:v>Défaillance électrique banc de  test</c:v>
                  </c:pt>
                  <c:pt idx="14">
                    <c:v>Réparation curative</c:v>
                  </c:pt>
                  <c:pt idx="15">
                    <c:v>Incident remise en service</c:v>
                  </c:pt>
                  <c:pt idx="16">
                    <c:v>Manque accessoires de pose</c:v>
                  </c:pt>
                  <c:pt idx="17">
                    <c:v>Défaut traitement surface</c:v>
                  </c:pt>
                </c:lvl>
                <c:lvl>
                  <c:pt idx="0">
                    <c:v>BERRECHID</c:v>
                  </c:pt>
                  <c:pt idx="13">
                    <c:v>TEMARA</c:v>
                  </c:pt>
                </c:lvl>
                <c:lvl>
                  <c:pt idx="0">
                    <c:v>MAINTENANCE</c:v>
                  </c:pt>
                </c:lvl>
              </c:multiLvlStrCache>
            </c:multiLvlStrRef>
          </c:cat>
          <c:val>
            <c:numRef>
              <c:f>'Arrêt par Département (2)'!$B$5:$B$26</c:f>
              <c:numCache>
                <c:formatCode>0.0</c:formatCode>
                <c:ptCount val="18"/>
                <c:pt idx="0">
                  <c:v>17.5</c:v>
                </c:pt>
                <c:pt idx="1">
                  <c:v>8</c:v>
                </c:pt>
                <c:pt idx="2">
                  <c:v>7.9999999999999982</c:v>
                </c:pt>
                <c:pt idx="3">
                  <c:v>5.333333333333333</c:v>
                </c:pt>
                <c:pt idx="4">
                  <c:v>1.9166666666666679</c:v>
                </c:pt>
                <c:pt idx="5">
                  <c:v>1.8499999999999988</c:v>
                </c:pt>
                <c:pt idx="6">
                  <c:v>1.0166666666666671</c:v>
                </c:pt>
                <c:pt idx="7">
                  <c:v>1.0000000000000018</c:v>
                </c:pt>
                <c:pt idx="8">
                  <c:v>0.99999999999999911</c:v>
                </c:pt>
                <c:pt idx="9">
                  <c:v>0.91666666666666741</c:v>
                </c:pt>
                <c:pt idx="10">
                  <c:v>0.66666666666666696</c:v>
                </c:pt>
                <c:pt idx="11">
                  <c:v>0.41666666666666652</c:v>
                </c:pt>
                <c:pt idx="12">
                  <c:v>0.33333333333333215</c:v>
                </c:pt>
                <c:pt idx="13">
                  <c:v>17.670000000000002</c:v>
                </c:pt>
                <c:pt idx="14">
                  <c:v>7.83</c:v>
                </c:pt>
                <c:pt idx="15">
                  <c:v>1.9999999999999996</c:v>
                </c:pt>
                <c:pt idx="16">
                  <c:v>1.0000000000000004</c:v>
                </c:pt>
                <c:pt idx="17">
                  <c:v>0.33333333333334281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E-4189-B1D5-EF05E953D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9911744"/>
        <c:axId val="1069913664"/>
      </c:barChart>
      <c:catAx>
        <c:axId val="106991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913664"/>
        <c:crosses val="autoZero"/>
        <c:auto val="1"/>
        <c:lblAlgn val="ctr"/>
        <c:lblOffset val="100"/>
        <c:noMultiLvlLbl val="0"/>
      </c:catAx>
      <c:valAx>
        <c:axId val="106991366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06991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[Suivi des arrêts production Berrechid 30-01-2026.xlsx]Arrêt par Département (3)!Tableau croisé dynamique1</c:name>
    <c:fmtId val="6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Perte en H par Service par site</a:t>
            </a:r>
          </a:p>
        </c:rich>
      </c:tx>
      <c:layout>
        <c:manualLayout>
          <c:xMode val="edge"/>
          <c:yMode val="edge"/>
          <c:x val="0.37411902368953193"/>
          <c:y val="2.926509186351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FFC000"/>
          </a:solidFill>
          <a:ln>
            <a:noFill/>
          </a:ln>
          <a:effectLst/>
        </c:spPr>
      </c:pivotFmt>
      <c:pivotFmt>
        <c:idx val="41"/>
        <c:spPr>
          <a:solidFill>
            <a:srgbClr val="FFC000"/>
          </a:solidFill>
          <a:ln>
            <a:noFill/>
          </a:ln>
          <a:effectLst/>
        </c:spPr>
      </c:pivotFmt>
      <c:pivotFmt>
        <c:idx val="42"/>
        <c:spPr>
          <a:solidFill>
            <a:srgbClr val="FFC000"/>
          </a:solidFill>
          <a:ln>
            <a:noFill/>
          </a:ln>
          <a:effectLst/>
        </c:spPr>
      </c:pivotFmt>
      <c:pivotFmt>
        <c:idx val="43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FFC000"/>
          </a:solidFill>
          <a:ln>
            <a:noFill/>
          </a:ln>
          <a:effectLst/>
        </c:spPr>
      </c:pivotFmt>
      <c:pivotFmt>
        <c:idx val="45"/>
        <c:spPr>
          <a:solidFill>
            <a:srgbClr val="FFC000"/>
          </a:solidFill>
          <a:ln>
            <a:noFill/>
          </a:ln>
          <a:effectLst/>
        </c:spPr>
      </c:pivotFmt>
      <c:pivotFmt>
        <c:idx val="46"/>
        <c:spPr>
          <a:solidFill>
            <a:srgbClr val="FFC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'Arrêt par Département (3)'!$B$3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'Arrêt par Département (3)'!$A$4:$A$23</c:f>
              <c:multiLvlStrCache>
                <c:ptCount val="11"/>
                <c:lvl>
                  <c:pt idx="0">
                    <c:v>BERRECHID</c:v>
                  </c:pt>
                  <c:pt idx="1">
                    <c:v>TEMARA</c:v>
                  </c:pt>
                  <c:pt idx="2">
                    <c:v>BERRECHID</c:v>
                  </c:pt>
                  <c:pt idx="3">
                    <c:v>TEMARA</c:v>
                  </c:pt>
                  <c:pt idx="4">
                    <c:v>BERRECHID</c:v>
                  </c:pt>
                  <c:pt idx="5">
                    <c:v>TEMARA</c:v>
                  </c:pt>
                  <c:pt idx="6">
                    <c:v>BERRECHID</c:v>
                  </c:pt>
                  <c:pt idx="7">
                    <c:v>TEMARA</c:v>
                  </c:pt>
                  <c:pt idx="8">
                    <c:v>BERRECHID</c:v>
                  </c:pt>
                  <c:pt idx="9">
                    <c:v>BERRECHID</c:v>
                  </c:pt>
                  <c:pt idx="10">
                    <c:v>BERRECHID</c:v>
                  </c:pt>
                </c:lvl>
                <c:lvl>
                  <c:pt idx="0">
                    <c:v>TECHNIQUE</c:v>
                  </c:pt>
                  <c:pt idx="2">
                    <c:v>ORGANISATION</c:v>
                  </c:pt>
                  <c:pt idx="4">
                    <c:v>MAINTENANCE</c:v>
                  </c:pt>
                  <c:pt idx="6">
                    <c:v>SUPPLY</c:v>
                  </c:pt>
                  <c:pt idx="8">
                    <c:v>IT</c:v>
                  </c:pt>
                  <c:pt idx="9">
                    <c:v>ACHAT</c:v>
                  </c:pt>
                  <c:pt idx="10">
                    <c:v>FORMATION</c:v>
                  </c:pt>
                </c:lvl>
                <c:lvl>
                  <c:pt idx="0">
                    <c:v>2026-M01</c:v>
                  </c:pt>
                </c:lvl>
              </c:multiLvlStrCache>
            </c:multiLvlStrRef>
          </c:cat>
          <c:val>
            <c:numRef>
              <c:f>'Arrêt par Département (3)'!$B$4:$B$23</c:f>
              <c:numCache>
                <c:formatCode>0.0</c:formatCode>
                <c:ptCount val="11"/>
                <c:pt idx="0">
                  <c:v>44.183333333333337</c:v>
                </c:pt>
                <c:pt idx="1">
                  <c:v>70.490000000000052</c:v>
                </c:pt>
                <c:pt idx="2">
                  <c:v>3</c:v>
                </c:pt>
                <c:pt idx="3">
                  <c:v>80.833333333333385</c:v>
                </c:pt>
                <c:pt idx="4">
                  <c:v>47.95</c:v>
                </c:pt>
                <c:pt idx="5">
                  <c:v>28.833333333333343</c:v>
                </c:pt>
                <c:pt idx="6">
                  <c:v>58.300000000000004</c:v>
                </c:pt>
                <c:pt idx="7">
                  <c:v>8.0000000000000142</c:v>
                </c:pt>
                <c:pt idx="8">
                  <c:v>5</c:v>
                </c:pt>
                <c:pt idx="9">
                  <c:v>0.99999999999999911</c:v>
                </c:pt>
                <c:pt idx="10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5-4E2D-B135-A39ADE2B3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9911744"/>
        <c:axId val="1069913664"/>
      </c:barChart>
      <c:catAx>
        <c:axId val="106991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913664"/>
        <c:crosses val="autoZero"/>
        <c:auto val="1"/>
        <c:lblAlgn val="ctr"/>
        <c:lblOffset val="100"/>
        <c:noMultiLvlLbl val="0"/>
      </c:catAx>
      <c:valAx>
        <c:axId val="106991366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06991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[Suivi des arrêts production Berrechid 30-01-2026.xlsx]Arrêt par Département!Tableau croisé dynamique1</c:name>
    <c:fmtId val="5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Perte en H par Service par site</a:t>
            </a:r>
          </a:p>
        </c:rich>
      </c:tx>
      <c:layout>
        <c:manualLayout>
          <c:xMode val="edge"/>
          <c:yMode val="edge"/>
          <c:x val="0.31290079238907487"/>
          <c:y val="2.926509186351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9524316648917288E-2"/>
          <c:y val="0.20127278332866816"/>
          <c:w val="0.96095136670216541"/>
          <c:h val="0.676248341832077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'Arrêt par Département'!$B$3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'Arrêt par Département'!$A$4:$A$13</c:f>
              <c:multiLvlStrCache>
                <c:ptCount val="7"/>
                <c:lvl>
                  <c:pt idx="0">
                    <c:v>2026-S01</c:v>
                  </c:pt>
                  <c:pt idx="1">
                    <c:v>2026-S02</c:v>
                  </c:pt>
                  <c:pt idx="2">
                    <c:v>2026-S03</c:v>
                  </c:pt>
                  <c:pt idx="3">
                    <c:v>2026-S04</c:v>
                  </c:pt>
                  <c:pt idx="4">
                    <c:v>2026-S02</c:v>
                  </c:pt>
                  <c:pt idx="5">
                    <c:v>2026-S03</c:v>
                  </c:pt>
                  <c:pt idx="6">
                    <c:v>2026-S04</c:v>
                  </c:pt>
                </c:lvl>
                <c:lvl>
                  <c:pt idx="0">
                    <c:v>BERRECHID</c:v>
                  </c:pt>
                  <c:pt idx="4">
                    <c:v>TEMARA</c:v>
                  </c:pt>
                </c:lvl>
              </c:multiLvlStrCache>
            </c:multiLvlStrRef>
          </c:cat>
          <c:val>
            <c:numRef>
              <c:f>'Arrêt par Département'!$B$4:$B$13</c:f>
              <c:numCache>
                <c:formatCode>0.0</c:formatCode>
                <c:ptCount val="7"/>
                <c:pt idx="0">
                  <c:v>17.366666666666671</c:v>
                </c:pt>
                <c:pt idx="1">
                  <c:v>82.25</c:v>
                </c:pt>
                <c:pt idx="2">
                  <c:v>28.233333333333327</c:v>
                </c:pt>
                <c:pt idx="3">
                  <c:v>32.333333333333336</c:v>
                </c:pt>
                <c:pt idx="4">
                  <c:v>72.336666666666673</c:v>
                </c:pt>
                <c:pt idx="5">
                  <c:v>59.153333333333379</c:v>
                </c:pt>
                <c:pt idx="6">
                  <c:v>56.666666666666742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B5-433B-98E8-9A9784947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9911744"/>
        <c:axId val="1069913664"/>
      </c:barChart>
      <c:catAx>
        <c:axId val="106991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913664"/>
        <c:crosses val="autoZero"/>
        <c:auto val="1"/>
        <c:lblAlgn val="ctr"/>
        <c:lblOffset val="100"/>
        <c:noMultiLvlLbl val="0"/>
      </c:catAx>
      <c:valAx>
        <c:axId val="106991366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06991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[Suivi des arrêts production Berrechid 30-01-2026.xlsx]Arrêt en H Maroc!Tableau croisé dynamique2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 Perte en Productivité par semaine</a:t>
            </a:r>
          </a:p>
        </c:rich>
      </c:tx>
      <c:layout>
        <c:manualLayout>
          <c:xMode val="edge"/>
          <c:yMode val="edge"/>
          <c:x val="0.33648394311798535"/>
          <c:y val="1.4311267437396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'Arrêt en H Maroc'!$B$4:$B$5</c:f>
              <c:strCache>
                <c:ptCount val="1"/>
                <c:pt idx="0">
                  <c:v>TECHNIQUE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'Arrêt en H Maroc'!$A$6:$A$12</c:f>
              <c:strCache>
                <c:ptCount val="6"/>
                <c:pt idx="0">
                  <c:v>2026-S04</c:v>
                </c:pt>
                <c:pt idx="1">
                  <c:v>2026-S03</c:v>
                </c:pt>
                <c:pt idx="2">
                  <c:v>2026-S02</c:v>
                </c:pt>
                <c:pt idx="3">
                  <c:v>2026-S01</c:v>
                </c:pt>
                <c:pt idx="4">
                  <c:v>2025-S53</c:v>
                </c:pt>
                <c:pt idx="5">
                  <c:v>2025-S52</c:v>
                </c:pt>
              </c:strCache>
            </c:strRef>
          </c:cat>
          <c:val>
            <c:numRef>
              <c:f>'Arrêt en H Maroc'!$B$6:$B$12</c:f>
              <c:numCache>
                <c:formatCode>0.0</c:formatCode>
                <c:ptCount val="6"/>
                <c:pt idx="0">
                  <c:v>19.500000000000028</c:v>
                </c:pt>
                <c:pt idx="1">
                  <c:v>48.973333333333358</c:v>
                </c:pt>
                <c:pt idx="2">
                  <c:v>27.833333333333332</c:v>
                </c:pt>
                <c:pt idx="3">
                  <c:v>17.366666666666671</c:v>
                </c:pt>
                <c:pt idx="4">
                  <c:v>22.453333333333333</c:v>
                </c:pt>
                <c:pt idx="5">
                  <c:v>23.409999999999997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33-4458-80AD-9BFDC9D71F4C}"/>
            </c:ext>
          </c:extLst>
        </c:ser>
        <c:ser>
          <c:idx val="1"/>
          <c:order val="1"/>
          <c:tx>
            <c:strRef>
              <c:f>'Arrêt en H Maroc'!$C$4:$C$5</c:f>
              <c:strCache>
                <c:ptCount val="1"/>
                <c:pt idx="0">
                  <c:v>SUPPLY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'Arrêt en H Maroc'!$A$6:$A$12</c:f>
              <c:strCache>
                <c:ptCount val="6"/>
                <c:pt idx="0">
                  <c:v>2026-S04</c:v>
                </c:pt>
                <c:pt idx="1">
                  <c:v>2026-S03</c:v>
                </c:pt>
                <c:pt idx="2">
                  <c:v>2026-S02</c:v>
                </c:pt>
                <c:pt idx="3">
                  <c:v>2026-S01</c:v>
                </c:pt>
                <c:pt idx="4">
                  <c:v>2025-S53</c:v>
                </c:pt>
                <c:pt idx="5">
                  <c:v>2025-S52</c:v>
                </c:pt>
              </c:strCache>
            </c:strRef>
          </c:cat>
          <c:val>
            <c:numRef>
              <c:f>'Arrêt en H Maroc'!$C$6:$C$12</c:f>
              <c:numCache>
                <c:formatCode>0.0</c:formatCode>
                <c:ptCount val="6"/>
                <c:pt idx="0">
                  <c:v>10.416666666666668</c:v>
                </c:pt>
                <c:pt idx="1">
                  <c:v>6.166666666666667</c:v>
                </c:pt>
                <c:pt idx="2">
                  <c:v>41.716666666666654</c:v>
                </c:pt>
                <c:pt idx="4">
                  <c:v>10.809999999999997</c:v>
                </c:pt>
                <c:pt idx="5">
                  <c:v>30.533333333333331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C4-49DF-AFDB-AAC24A6FAAF9}"/>
            </c:ext>
          </c:extLst>
        </c:ser>
        <c:ser>
          <c:idx val="2"/>
          <c:order val="2"/>
          <c:tx>
            <c:strRef>
              <c:f>'Arrêt en H Maroc'!$D$4:$D$5</c:f>
              <c:strCache>
                <c:ptCount val="1"/>
                <c:pt idx="0">
                  <c:v>MAINTENANCE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'Arrêt en H Maroc'!$A$6:$A$12</c:f>
              <c:strCache>
                <c:ptCount val="6"/>
                <c:pt idx="0">
                  <c:v>2026-S04</c:v>
                </c:pt>
                <c:pt idx="1">
                  <c:v>2026-S03</c:v>
                </c:pt>
                <c:pt idx="2">
                  <c:v>2026-S02</c:v>
                </c:pt>
                <c:pt idx="3">
                  <c:v>2026-S01</c:v>
                </c:pt>
                <c:pt idx="4">
                  <c:v>2025-S53</c:v>
                </c:pt>
                <c:pt idx="5">
                  <c:v>2025-S52</c:v>
                </c:pt>
              </c:strCache>
            </c:strRef>
          </c:cat>
          <c:val>
            <c:numRef>
              <c:f>'Arrêt en H Maroc'!$D$6:$D$12</c:f>
              <c:numCache>
                <c:formatCode>0.0</c:formatCode>
                <c:ptCount val="6"/>
                <c:pt idx="0">
                  <c:v>1.9166666666666679</c:v>
                </c:pt>
                <c:pt idx="1">
                  <c:v>10.580000000000009</c:v>
                </c:pt>
                <c:pt idx="2">
                  <c:v>35.020000000000003</c:v>
                </c:pt>
                <c:pt idx="4">
                  <c:v>3.6666666666666643</c:v>
                </c:pt>
                <c:pt idx="5">
                  <c:v>30.566666666666706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4C4-49DF-AFDB-AAC24A6FAAF9}"/>
            </c:ext>
          </c:extLst>
        </c:ser>
        <c:ser>
          <c:idx val="3"/>
          <c:order val="3"/>
          <c:tx>
            <c:strRef>
              <c:f>'Arrêt en H Maroc'!$E$4:$E$5</c:f>
              <c:strCache>
                <c:ptCount val="1"/>
                <c:pt idx="0">
                  <c:v>ORGANISATION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'Arrêt en H Maroc'!$A$6:$A$12</c:f>
              <c:strCache>
                <c:ptCount val="6"/>
                <c:pt idx="0">
                  <c:v>2026-S04</c:v>
                </c:pt>
                <c:pt idx="1">
                  <c:v>2026-S03</c:v>
                </c:pt>
                <c:pt idx="2">
                  <c:v>2026-S02</c:v>
                </c:pt>
                <c:pt idx="3">
                  <c:v>2026-S01</c:v>
                </c:pt>
                <c:pt idx="4">
                  <c:v>2025-S53</c:v>
                </c:pt>
                <c:pt idx="5">
                  <c:v>2025-S52</c:v>
                </c:pt>
              </c:strCache>
            </c:strRef>
          </c:cat>
          <c:val>
            <c:numRef>
              <c:f>'Arrêt en H Maroc'!$E$6:$E$12</c:f>
              <c:numCache>
                <c:formatCode>0.0</c:formatCode>
                <c:ptCount val="6"/>
                <c:pt idx="0">
                  <c:v>36.166666666666714</c:v>
                </c:pt>
                <c:pt idx="2">
                  <c:v>37.666666666666671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4C4-49DF-AFDB-AAC24A6FAAF9}"/>
            </c:ext>
          </c:extLst>
        </c:ser>
        <c:ser>
          <c:idx val="4"/>
          <c:order val="4"/>
          <c:tx>
            <c:strRef>
              <c:f>'Arrêt en H Maroc'!$F$4:$F$5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'Arrêt en H Maroc'!$A$6:$A$12</c:f>
              <c:strCache>
                <c:ptCount val="6"/>
                <c:pt idx="0">
                  <c:v>2026-S04</c:v>
                </c:pt>
                <c:pt idx="1">
                  <c:v>2026-S03</c:v>
                </c:pt>
                <c:pt idx="2">
                  <c:v>2026-S02</c:v>
                </c:pt>
                <c:pt idx="3">
                  <c:v>2026-S01</c:v>
                </c:pt>
                <c:pt idx="4">
                  <c:v>2025-S53</c:v>
                </c:pt>
                <c:pt idx="5">
                  <c:v>2025-S52</c:v>
                </c:pt>
              </c:strCache>
            </c:strRef>
          </c:cat>
          <c:val>
            <c:numRef>
              <c:f>'Arrêt en H Maroc'!$F$6:$F$12</c:f>
              <c:numCache>
                <c:formatCode>0.0</c:formatCode>
                <c:ptCount val="6"/>
                <c:pt idx="0">
                  <c:v>4.5</c:v>
                </c:pt>
                <c:pt idx="2">
                  <c:v>0.49999999999999989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4C4-49DF-AFDB-AAC24A6FAAF9}"/>
            </c:ext>
          </c:extLst>
        </c:ser>
        <c:ser>
          <c:idx val="5"/>
          <c:order val="5"/>
          <c:tx>
            <c:strRef>
              <c:f>'Arrêt en H Maroc'!$G$4:$G$5</c:f>
              <c:strCache>
                <c:ptCount val="1"/>
                <c:pt idx="0">
                  <c:v>FORMATION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'Arrêt en H Maroc'!$A$6:$A$12</c:f>
              <c:strCache>
                <c:ptCount val="6"/>
                <c:pt idx="0">
                  <c:v>2026-S04</c:v>
                </c:pt>
                <c:pt idx="1">
                  <c:v>2026-S03</c:v>
                </c:pt>
                <c:pt idx="2">
                  <c:v>2026-S02</c:v>
                </c:pt>
                <c:pt idx="3">
                  <c:v>2026-S01</c:v>
                </c:pt>
                <c:pt idx="4">
                  <c:v>2025-S53</c:v>
                </c:pt>
                <c:pt idx="5">
                  <c:v>2025-S52</c:v>
                </c:pt>
              </c:strCache>
            </c:strRef>
          </c:cat>
          <c:val>
            <c:numRef>
              <c:f>'Arrêt en H Maroc'!$G$6:$G$12</c:f>
              <c:numCache>
                <c:formatCode>0.0</c:formatCode>
                <c:ptCount val="6"/>
                <c:pt idx="1">
                  <c:v>0.75</c:v>
                </c:pt>
                <c:pt idx="5">
                  <c:v>2.5000000000000004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4C4-49DF-AFDB-AAC24A6FAAF9}"/>
            </c:ext>
          </c:extLst>
        </c:ser>
        <c:ser>
          <c:idx val="6"/>
          <c:order val="6"/>
          <c:tx>
            <c:strRef>
              <c:f>'Arrêt en H Maroc'!$H$4:$H$5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'Arrêt en H Maroc'!$A$6:$A$12</c:f>
              <c:strCache>
                <c:ptCount val="6"/>
                <c:pt idx="0">
                  <c:v>2026-S04</c:v>
                </c:pt>
                <c:pt idx="1">
                  <c:v>2026-S03</c:v>
                </c:pt>
                <c:pt idx="2">
                  <c:v>2026-S02</c:v>
                </c:pt>
                <c:pt idx="3">
                  <c:v>2026-S01</c:v>
                </c:pt>
                <c:pt idx="4">
                  <c:v>2025-S53</c:v>
                </c:pt>
                <c:pt idx="5">
                  <c:v>2025-S52</c:v>
                </c:pt>
              </c:strCache>
            </c:strRef>
          </c:cat>
          <c:val>
            <c:numRef>
              <c:f>'Arrêt en H Maroc'!$H$6:$H$12</c:f>
              <c:numCache>
                <c:formatCode>0.0</c:formatCode>
                <c:ptCount val="6"/>
                <c:pt idx="5">
                  <c:v>1.0000000000000004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4C4-49DF-AFDB-AAC24A6FAAF9}"/>
            </c:ext>
          </c:extLst>
        </c:ser>
        <c:ser>
          <c:idx val="7"/>
          <c:order val="7"/>
          <c:tx>
            <c:strRef>
              <c:f>'Arrêt en H Maroc'!$I$4:$I$5</c:f>
              <c:strCache>
                <c:ptCount val="1"/>
                <c:pt idx="0">
                  <c:v>ACHAT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'Arrêt en H Maroc'!$A$6:$A$12</c:f>
              <c:strCache>
                <c:ptCount val="6"/>
                <c:pt idx="0">
                  <c:v>2026-S04</c:v>
                </c:pt>
                <c:pt idx="1">
                  <c:v>2026-S03</c:v>
                </c:pt>
                <c:pt idx="2">
                  <c:v>2026-S02</c:v>
                </c:pt>
                <c:pt idx="3">
                  <c:v>2026-S01</c:v>
                </c:pt>
                <c:pt idx="4">
                  <c:v>2025-S53</c:v>
                </c:pt>
                <c:pt idx="5">
                  <c:v>2025-S52</c:v>
                </c:pt>
              </c:strCache>
            </c:strRef>
          </c:cat>
          <c:val>
            <c:numRef>
              <c:f>'Arrêt en H Maroc'!$I$6:$I$12</c:f>
              <c:numCache>
                <c:formatCode>0.0</c:formatCode>
                <c:ptCount val="6"/>
                <c:pt idx="0">
                  <c:v>0.99999999999999911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4C4-49DF-AFDB-AAC24A6FA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1022792200"/>
        <c:axId val="1022794248"/>
      </c:barChart>
      <c:catAx>
        <c:axId val="1022792200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Semaine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794248"/>
        <c:crosses val="autoZero"/>
        <c:auto val="1"/>
        <c:lblAlgn val="ctr"/>
        <c:lblOffset val="100"/>
        <c:noMultiLvlLbl val="0"/>
      </c:catAx>
      <c:valAx>
        <c:axId val="1022794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Durée en 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792200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[Suivi des arrêts production Berrechid 30-01-2026.xlsx]Arrêt en Productivité Maroc!Tableau croisé dynamique2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 Perte en Productivité par semaine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'Arrêt en Productivité Maroc'!$B$2:$B$3</c:f>
              <c:strCache>
                <c:ptCount val="1"/>
                <c:pt idx="0">
                  <c:v>MAINTENANCE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'Arrêt en Productivité Maroc'!$A$4:$A$9</c:f>
              <c:strCache>
                <c:ptCount val="5"/>
                <c:pt idx="0">
                  <c:v>2025-S53</c:v>
                </c:pt>
                <c:pt idx="1">
                  <c:v>2025-S52</c:v>
                </c:pt>
                <c:pt idx="2">
                  <c:v>2025-S51</c:v>
                </c:pt>
                <c:pt idx="3">
                  <c:v>2025-S50</c:v>
                </c:pt>
                <c:pt idx="4">
                  <c:v>2025-S49</c:v>
                </c:pt>
              </c:strCache>
            </c:strRef>
          </c:cat>
          <c:val>
            <c:numRef>
              <c:f>'Arrêt en Productivité Maroc'!$B$4:$B$9</c:f>
              <c:numCache>
                <c:formatCode>0.00%</c:formatCode>
                <c:ptCount val="5"/>
                <c:pt idx="1">
                  <c:v>4.6270038018931446E-2</c:v>
                </c:pt>
                <c:pt idx="2">
                  <c:v>1.7425343551797535E-3</c:v>
                </c:pt>
                <c:pt idx="3">
                  <c:v>1.9842068277916597E-2</c:v>
                </c:pt>
                <c:pt idx="4">
                  <c:v>1.0455206131078223E-2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7-4FD4-A7A6-5B0F37B56EDA}"/>
            </c:ext>
          </c:extLst>
        </c:ser>
        <c:ser>
          <c:idx val="1"/>
          <c:order val="1"/>
          <c:tx>
            <c:strRef>
              <c:f>'Arrêt en Productivité Maroc'!$C$2:$C$3</c:f>
              <c:strCache>
                <c:ptCount val="1"/>
                <c:pt idx="0">
                  <c:v>SUPPLY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'Arrêt en Productivité Maroc'!$A$4:$A$9</c:f>
              <c:strCache>
                <c:ptCount val="5"/>
                <c:pt idx="0">
                  <c:v>2025-S53</c:v>
                </c:pt>
                <c:pt idx="1">
                  <c:v>2025-S52</c:v>
                </c:pt>
                <c:pt idx="2">
                  <c:v>2025-S51</c:v>
                </c:pt>
                <c:pt idx="3">
                  <c:v>2025-S50</c:v>
                </c:pt>
                <c:pt idx="4">
                  <c:v>2025-S49</c:v>
                </c:pt>
              </c:strCache>
            </c:strRef>
          </c:cat>
          <c:val>
            <c:numRef>
              <c:f>'Arrêt en Productivité Maroc'!$C$4:$C$9</c:f>
              <c:numCache>
                <c:formatCode>0.00%</c:formatCode>
                <c:ptCount val="5"/>
                <c:pt idx="1">
                  <c:v>2.365702479338843E-2</c:v>
                </c:pt>
                <c:pt idx="4">
                  <c:v>4.9079257159331154E-2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87-4FD4-A7A6-5B0F37B56EDA}"/>
            </c:ext>
          </c:extLst>
        </c:ser>
        <c:ser>
          <c:idx val="2"/>
          <c:order val="2"/>
          <c:tx>
            <c:strRef>
              <c:f>'Arrêt en Productivité Maroc'!$D$2:$D$3</c:f>
              <c:strCache>
                <c:ptCount val="1"/>
                <c:pt idx="0">
                  <c:v>TECHNIQUE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'Arrêt en Productivité Maroc'!$A$4:$A$9</c:f>
              <c:strCache>
                <c:ptCount val="5"/>
                <c:pt idx="0">
                  <c:v>2025-S53</c:v>
                </c:pt>
                <c:pt idx="1">
                  <c:v>2025-S52</c:v>
                </c:pt>
                <c:pt idx="2">
                  <c:v>2025-S51</c:v>
                </c:pt>
                <c:pt idx="3">
                  <c:v>2025-S50</c:v>
                </c:pt>
                <c:pt idx="4">
                  <c:v>2025-S49</c:v>
                </c:pt>
              </c:strCache>
            </c:strRef>
          </c:cat>
          <c:val>
            <c:numRef>
              <c:f>'Arrêt en Productivité Maroc'!$D$4:$D$9</c:f>
              <c:numCache>
                <c:formatCode>0.00%</c:formatCode>
                <c:ptCount val="5"/>
                <c:pt idx="0">
                  <c:v>2.7763429752066106E-3</c:v>
                </c:pt>
                <c:pt idx="1">
                  <c:v>1.5748966942148758E-2</c:v>
                </c:pt>
                <c:pt idx="2">
                  <c:v>1.5538911845730006E-2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87-4FD4-A7A6-5B0F37B56EDA}"/>
            </c:ext>
          </c:extLst>
        </c:ser>
        <c:ser>
          <c:idx val="3"/>
          <c:order val="3"/>
          <c:tx>
            <c:strRef>
              <c:f>'Arrêt en Productivité Maroc'!$E$2:$E$3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'Arrêt en Productivité Maroc'!$A$4:$A$9</c:f>
              <c:strCache>
                <c:ptCount val="5"/>
                <c:pt idx="0">
                  <c:v>2025-S53</c:v>
                </c:pt>
                <c:pt idx="1">
                  <c:v>2025-S52</c:v>
                </c:pt>
                <c:pt idx="2">
                  <c:v>2025-S51</c:v>
                </c:pt>
                <c:pt idx="3">
                  <c:v>2025-S50</c:v>
                </c:pt>
                <c:pt idx="4">
                  <c:v>2025-S49</c:v>
                </c:pt>
              </c:strCache>
            </c:strRef>
          </c:cat>
          <c:val>
            <c:numRef>
              <c:f>'Arrêt en Productivité Maroc'!$E$4:$E$9</c:f>
              <c:numCache>
                <c:formatCode>0.00%</c:formatCode>
                <c:ptCount val="5"/>
                <c:pt idx="2">
                  <c:v>1.0309994934813207E-2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87-4FD4-A7A6-5B0F37B56EDA}"/>
            </c:ext>
          </c:extLst>
        </c:ser>
        <c:ser>
          <c:idx val="4"/>
          <c:order val="4"/>
          <c:tx>
            <c:strRef>
              <c:f>'Arrêt en Productivité Maroc'!$F$2:$F$3</c:f>
              <c:strCache>
                <c:ptCount val="1"/>
                <c:pt idx="0">
                  <c:v>FORMATION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'Arrêt en Productivité Maroc'!$A$4:$A$9</c:f>
              <c:strCache>
                <c:ptCount val="5"/>
                <c:pt idx="0">
                  <c:v>2025-S53</c:v>
                </c:pt>
                <c:pt idx="1">
                  <c:v>2025-S52</c:v>
                </c:pt>
                <c:pt idx="2">
                  <c:v>2025-S51</c:v>
                </c:pt>
                <c:pt idx="3">
                  <c:v>2025-S50</c:v>
                </c:pt>
                <c:pt idx="4">
                  <c:v>2025-S49</c:v>
                </c:pt>
              </c:strCache>
            </c:strRef>
          </c:cat>
          <c:val>
            <c:numRef>
              <c:f>'Arrêt en Productivité Maroc'!$F$4:$F$9</c:f>
              <c:numCache>
                <c:formatCode>0.00%</c:formatCode>
                <c:ptCount val="5"/>
                <c:pt idx="1">
                  <c:v>1.9369834710743802E-3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87-4FD4-A7A6-5B0F37B56EDA}"/>
            </c:ext>
          </c:extLst>
        </c:ser>
        <c:ser>
          <c:idx val="5"/>
          <c:order val="5"/>
          <c:tx>
            <c:strRef>
              <c:f>'Arrêt en Productivité Maroc'!$G$2:$G$3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'Arrêt en Productivité Maroc'!$A$4:$A$9</c:f>
              <c:strCache>
                <c:ptCount val="5"/>
                <c:pt idx="0">
                  <c:v>2025-S53</c:v>
                </c:pt>
                <c:pt idx="1">
                  <c:v>2025-S52</c:v>
                </c:pt>
                <c:pt idx="2">
                  <c:v>2025-S51</c:v>
                </c:pt>
                <c:pt idx="3">
                  <c:v>2025-S50</c:v>
                </c:pt>
                <c:pt idx="4">
                  <c:v>2025-S49</c:v>
                </c:pt>
              </c:strCache>
            </c:strRef>
          </c:cat>
          <c:val>
            <c:numRef>
              <c:f>'Arrêt en Productivité Maroc'!$G$4:$G$9</c:f>
              <c:numCache>
                <c:formatCode>0.00%</c:formatCode>
                <c:ptCount val="5"/>
                <c:pt idx="1">
                  <c:v>7.747933884297523E-4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87-4FD4-A7A6-5B0F37B56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1022792200"/>
        <c:axId val="1022794248"/>
      </c:barChart>
      <c:catAx>
        <c:axId val="1022792200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Semaine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794248"/>
        <c:crosses val="autoZero"/>
        <c:auto val="1"/>
        <c:lblAlgn val="ctr"/>
        <c:lblOffset val="100"/>
        <c:noMultiLvlLbl val="0"/>
      </c:catAx>
      <c:valAx>
        <c:axId val="1022794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Durée en 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792200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[Suivi des arrêts production Berrechid 30-01-2026.xlsx]Arrêt en Productivité par site!Tableau croisé dynamique2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 Perte en Productivité par semaine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'Arrêt en Productivité par site'!$B$2:$B$3</c:f>
              <c:strCache>
                <c:ptCount val="1"/>
                <c:pt idx="0">
                  <c:v>MAINTENANCE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'Arrêt en Productivité par site'!$A$4:$A$12</c:f>
              <c:multiLvlStrCache>
                <c:ptCount val="6"/>
                <c:lvl>
                  <c:pt idx="0">
                    <c:v>2025-S52</c:v>
                  </c:pt>
                  <c:pt idx="1">
                    <c:v>2025-S51</c:v>
                  </c:pt>
                  <c:pt idx="2">
                    <c:v>2025-S50</c:v>
                  </c:pt>
                  <c:pt idx="3">
                    <c:v>2025-S49</c:v>
                  </c:pt>
                  <c:pt idx="4">
                    <c:v>2025-S53</c:v>
                  </c:pt>
                  <c:pt idx="5">
                    <c:v>2025-S52</c:v>
                  </c:pt>
                </c:lvl>
                <c:lvl>
                  <c:pt idx="0">
                    <c:v>TEMARA</c:v>
                  </c:pt>
                  <c:pt idx="4">
                    <c:v>BERRECHID</c:v>
                  </c:pt>
                </c:lvl>
              </c:multiLvlStrCache>
            </c:multiLvlStrRef>
          </c:cat>
          <c:val>
            <c:numRef>
              <c:f>'Arrêt en Productivité par site'!$B$4:$B$12</c:f>
              <c:numCache>
                <c:formatCode>0.00%</c:formatCode>
                <c:ptCount val="6"/>
                <c:pt idx="0">
                  <c:v>4.1907951242071945E-2</c:v>
                </c:pt>
                <c:pt idx="1">
                  <c:v>1.7425343551797535E-3</c:v>
                </c:pt>
                <c:pt idx="2">
                  <c:v>1.9842068277916597E-2</c:v>
                </c:pt>
                <c:pt idx="3">
                  <c:v>1.0455206131078223E-2</c:v>
                </c:pt>
                <c:pt idx="5">
                  <c:v>4.3620867768595049E-3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C0-47D5-ACEC-722913EFBE25}"/>
            </c:ext>
          </c:extLst>
        </c:ser>
        <c:ser>
          <c:idx val="1"/>
          <c:order val="1"/>
          <c:tx>
            <c:strRef>
              <c:f>'Arrêt en Productivité par site'!$C$2:$C$3</c:f>
              <c:strCache>
                <c:ptCount val="1"/>
                <c:pt idx="0">
                  <c:v>SUPPLY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'Arrêt en Productivité par site'!$A$4:$A$12</c:f>
              <c:multiLvlStrCache>
                <c:ptCount val="6"/>
                <c:lvl>
                  <c:pt idx="0">
                    <c:v>2025-S52</c:v>
                  </c:pt>
                  <c:pt idx="1">
                    <c:v>2025-S51</c:v>
                  </c:pt>
                  <c:pt idx="2">
                    <c:v>2025-S50</c:v>
                  </c:pt>
                  <c:pt idx="3">
                    <c:v>2025-S49</c:v>
                  </c:pt>
                  <c:pt idx="4">
                    <c:v>2025-S53</c:v>
                  </c:pt>
                  <c:pt idx="5">
                    <c:v>2025-S52</c:v>
                  </c:pt>
                </c:lvl>
                <c:lvl>
                  <c:pt idx="0">
                    <c:v>TEMARA</c:v>
                  </c:pt>
                  <c:pt idx="4">
                    <c:v>BERRECHID</c:v>
                  </c:pt>
                </c:lvl>
              </c:multiLvlStrCache>
            </c:multiLvlStrRef>
          </c:cat>
          <c:val>
            <c:numRef>
              <c:f>'Arrêt en Productivité par site'!$C$4:$C$12</c:f>
              <c:numCache>
                <c:formatCode>0.00%</c:formatCode>
                <c:ptCount val="6"/>
                <c:pt idx="3">
                  <c:v>4.9079257159331154E-2</c:v>
                </c:pt>
                <c:pt idx="5">
                  <c:v>2.365702479338843E-2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C0-47D5-ACEC-722913EFBE25}"/>
            </c:ext>
          </c:extLst>
        </c:ser>
        <c:ser>
          <c:idx val="2"/>
          <c:order val="2"/>
          <c:tx>
            <c:strRef>
              <c:f>'Arrêt en Productivité par site'!$D$2:$D$3</c:f>
              <c:strCache>
                <c:ptCount val="1"/>
                <c:pt idx="0">
                  <c:v>TECHNIQUE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'Arrêt en Productivité par site'!$A$4:$A$12</c:f>
              <c:multiLvlStrCache>
                <c:ptCount val="6"/>
                <c:lvl>
                  <c:pt idx="0">
                    <c:v>2025-S52</c:v>
                  </c:pt>
                  <c:pt idx="1">
                    <c:v>2025-S51</c:v>
                  </c:pt>
                  <c:pt idx="2">
                    <c:v>2025-S50</c:v>
                  </c:pt>
                  <c:pt idx="3">
                    <c:v>2025-S49</c:v>
                  </c:pt>
                  <c:pt idx="4">
                    <c:v>2025-S53</c:v>
                  </c:pt>
                  <c:pt idx="5">
                    <c:v>2025-S52</c:v>
                  </c:pt>
                </c:lvl>
                <c:lvl>
                  <c:pt idx="0">
                    <c:v>TEMARA</c:v>
                  </c:pt>
                  <c:pt idx="4">
                    <c:v>BERRECHID</c:v>
                  </c:pt>
                </c:lvl>
              </c:multiLvlStrCache>
            </c:multiLvlStrRef>
          </c:cat>
          <c:val>
            <c:numRef>
              <c:f>'Arrêt en Productivité par site'!$D$4:$D$12</c:f>
              <c:numCache>
                <c:formatCode>0.00%</c:formatCode>
                <c:ptCount val="6"/>
                <c:pt idx="1">
                  <c:v>1.5538911845730006E-2</c:v>
                </c:pt>
                <c:pt idx="4">
                  <c:v>2.7763429752066106E-3</c:v>
                </c:pt>
                <c:pt idx="5">
                  <c:v>1.5748966942148758E-2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C0-47D5-ACEC-722913EFBE25}"/>
            </c:ext>
          </c:extLst>
        </c:ser>
        <c:ser>
          <c:idx val="3"/>
          <c:order val="3"/>
          <c:tx>
            <c:strRef>
              <c:f>'Arrêt en Productivité par site'!$E$2:$E$3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'Arrêt en Productivité par site'!$A$4:$A$12</c:f>
              <c:multiLvlStrCache>
                <c:ptCount val="6"/>
                <c:lvl>
                  <c:pt idx="0">
                    <c:v>2025-S52</c:v>
                  </c:pt>
                  <c:pt idx="1">
                    <c:v>2025-S51</c:v>
                  </c:pt>
                  <c:pt idx="2">
                    <c:v>2025-S50</c:v>
                  </c:pt>
                  <c:pt idx="3">
                    <c:v>2025-S49</c:v>
                  </c:pt>
                  <c:pt idx="4">
                    <c:v>2025-S53</c:v>
                  </c:pt>
                  <c:pt idx="5">
                    <c:v>2025-S52</c:v>
                  </c:pt>
                </c:lvl>
                <c:lvl>
                  <c:pt idx="0">
                    <c:v>TEMARA</c:v>
                  </c:pt>
                  <c:pt idx="4">
                    <c:v>BERRECHID</c:v>
                  </c:pt>
                </c:lvl>
              </c:multiLvlStrCache>
            </c:multiLvlStrRef>
          </c:cat>
          <c:val>
            <c:numRef>
              <c:f>'Arrêt en Productivité par site'!$E$4:$E$12</c:f>
              <c:numCache>
                <c:formatCode>0.00%</c:formatCode>
                <c:ptCount val="6"/>
                <c:pt idx="1">
                  <c:v>1.0309994934813207E-2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C0-47D5-ACEC-722913EFBE25}"/>
            </c:ext>
          </c:extLst>
        </c:ser>
        <c:ser>
          <c:idx val="4"/>
          <c:order val="4"/>
          <c:tx>
            <c:strRef>
              <c:f>'Arrêt en Productivité par site'!$F$2:$F$3</c:f>
              <c:strCache>
                <c:ptCount val="1"/>
                <c:pt idx="0">
                  <c:v>FORMATION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'Arrêt en Productivité par site'!$A$4:$A$12</c:f>
              <c:multiLvlStrCache>
                <c:ptCount val="6"/>
                <c:lvl>
                  <c:pt idx="0">
                    <c:v>2025-S52</c:v>
                  </c:pt>
                  <c:pt idx="1">
                    <c:v>2025-S51</c:v>
                  </c:pt>
                  <c:pt idx="2">
                    <c:v>2025-S50</c:v>
                  </c:pt>
                  <c:pt idx="3">
                    <c:v>2025-S49</c:v>
                  </c:pt>
                  <c:pt idx="4">
                    <c:v>2025-S53</c:v>
                  </c:pt>
                  <c:pt idx="5">
                    <c:v>2025-S52</c:v>
                  </c:pt>
                </c:lvl>
                <c:lvl>
                  <c:pt idx="0">
                    <c:v>TEMARA</c:v>
                  </c:pt>
                  <c:pt idx="4">
                    <c:v>BERRECHID</c:v>
                  </c:pt>
                </c:lvl>
              </c:multiLvlStrCache>
            </c:multiLvlStrRef>
          </c:cat>
          <c:val>
            <c:numRef>
              <c:f>'Arrêt en Productivité par site'!$F$4:$F$12</c:f>
              <c:numCache>
                <c:formatCode>0.00%</c:formatCode>
                <c:ptCount val="6"/>
                <c:pt idx="5">
                  <c:v>1.9369834710743802E-3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C0-47D5-ACEC-722913EFBE25}"/>
            </c:ext>
          </c:extLst>
        </c:ser>
        <c:ser>
          <c:idx val="5"/>
          <c:order val="5"/>
          <c:tx>
            <c:strRef>
              <c:f>'Arrêt en Productivité par site'!$G$2:$G$3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'Arrêt en Productivité par site'!$A$4:$A$12</c:f>
              <c:multiLvlStrCache>
                <c:ptCount val="6"/>
                <c:lvl>
                  <c:pt idx="0">
                    <c:v>2025-S52</c:v>
                  </c:pt>
                  <c:pt idx="1">
                    <c:v>2025-S51</c:v>
                  </c:pt>
                  <c:pt idx="2">
                    <c:v>2025-S50</c:v>
                  </c:pt>
                  <c:pt idx="3">
                    <c:v>2025-S49</c:v>
                  </c:pt>
                  <c:pt idx="4">
                    <c:v>2025-S53</c:v>
                  </c:pt>
                  <c:pt idx="5">
                    <c:v>2025-S52</c:v>
                  </c:pt>
                </c:lvl>
                <c:lvl>
                  <c:pt idx="0">
                    <c:v>TEMARA</c:v>
                  </c:pt>
                  <c:pt idx="4">
                    <c:v>BERRECHID</c:v>
                  </c:pt>
                </c:lvl>
              </c:multiLvlStrCache>
            </c:multiLvlStrRef>
          </c:cat>
          <c:val>
            <c:numRef>
              <c:f>'Arrêt en Productivité par site'!$G$4:$G$12</c:f>
              <c:numCache>
                <c:formatCode>0.00%</c:formatCode>
                <c:ptCount val="6"/>
                <c:pt idx="5">
                  <c:v>7.747933884297523E-4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C0-47D5-ACEC-722913EFB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1022792200"/>
        <c:axId val="1022794248"/>
      </c:barChart>
      <c:catAx>
        <c:axId val="1022792200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Semaine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794248"/>
        <c:crosses val="autoZero"/>
        <c:auto val="1"/>
        <c:lblAlgn val="ctr"/>
        <c:lblOffset val="100"/>
        <c:noMultiLvlLbl val="0"/>
      </c:catAx>
      <c:valAx>
        <c:axId val="1022794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Durée en 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792200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[Suivi des arrêts production Berrechid 30-01-2026.xlsx]Arret hebdo par Batiment!Tableau croisé dynamique1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'Arret hebdo par Batiment'!$B$3:$B$4</c:f>
              <c:strCache>
                <c:ptCount val="1"/>
                <c:pt idx="0">
                  <c:v>Bât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'Arret hebdo par Batiment'!$A$5:$A$16</c:f>
              <c:multiLvlStrCache>
                <c:ptCount val="9"/>
                <c:lvl>
                  <c:pt idx="0">
                    <c:v>2026-S01</c:v>
                  </c:pt>
                  <c:pt idx="1">
                    <c:v>2026-S02</c:v>
                  </c:pt>
                  <c:pt idx="2">
                    <c:v>2026-S03</c:v>
                  </c:pt>
                  <c:pt idx="3">
                    <c:v>2026-S04</c:v>
                  </c:pt>
                  <c:pt idx="4">
                    <c:v>2026-S05</c:v>
                  </c:pt>
                  <c:pt idx="5">
                    <c:v>2026-S02</c:v>
                  </c:pt>
                  <c:pt idx="6">
                    <c:v>2026-S03</c:v>
                  </c:pt>
                  <c:pt idx="7">
                    <c:v>2026-S04</c:v>
                  </c:pt>
                  <c:pt idx="8">
                    <c:v>2026-S05</c:v>
                  </c:pt>
                </c:lvl>
                <c:lvl>
                  <c:pt idx="0">
                    <c:v>BERRECHID</c:v>
                  </c:pt>
                  <c:pt idx="5">
                    <c:v>TEMARA</c:v>
                  </c:pt>
                </c:lvl>
              </c:multiLvlStrCache>
            </c:multiLvlStrRef>
          </c:cat>
          <c:val>
            <c:numRef>
              <c:f>'Arret hebdo par Batiment'!$B$5:$B$16</c:f>
              <c:numCache>
                <c:formatCode>0</c:formatCode>
                <c:ptCount val="9"/>
                <c:pt idx="1">
                  <c:v>43.066666666666663</c:v>
                </c:pt>
                <c:pt idx="2">
                  <c:v>26.083333333333329</c:v>
                </c:pt>
                <c:pt idx="3">
                  <c:v>28.833333333333336</c:v>
                </c:pt>
                <c:pt idx="4">
                  <c:v>20.999999999999993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F-490D-BA9D-C6FFBF708219}"/>
            </c:ext>
          </c:extLst>
        </c:ser>
        <c:ser>
          <c:idx val="1"/>
          <c:order val="1"/>
          <c:tx>
            <c:strRef>
              <c:f>'Arret hebdo par Batiment'!$C$3:$C$4</c:f>
              <c:strCache>
                <c:ptCount val="1"/>
                <c:pt idx="0">
                  <c:v>Bât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'Arret hebdo par Batiment'!$A$5:$A$16</c:f>
              <c:multiLvlStrCache>
                <c:ptCount val="9"/>
                <c:lvl>
                  <c:pt idx="0">
                    <c:v>2026-S01</c:v>
                  </c:pt>
                  <c:pt idx="1">
                    <c:v>2026-S02</c:v>
                  </c:pt>
                  <c:pt idx="2">
                    <c:v>2026-S03</c:v>
                  </c:pt>
                  <c:pt idx="3">
                    <c:v>2026-S04</c:v>
                  </c:pt>
                  <c:pt idx="4">
                    <c:v>2026-S05</c:v>
                  </c:pt>
                  <c:pt idx="5">
                    <c:v>2026-S02</c:v>
                  </c:pt>
                  <c:pt idx="6">
                    <c:v>2026-S03</c:v>
                  </c:pt>
                  <c:pt idx="7">
                    <c:v>2026-S04</c:v>
                  </c:pt>
                  <c:pt idx="8">
                    <c:v>2026-S05</c:v>
                  </c:pt>
                </c:lvl>
                <c:lvl>
                  <c:pt idx="0">
                    <c:v>BERRECHID</c:v>
                  </c:pt>
                  <c:pt idx="5">
                    <c:v>TEMARA</c:v>
                  </c:pt>
                </c:lvl>
              </c:multiLvlStrCache>
            </c:multiLvlStrRef>
          </c:cat>
          <c:val>
            <c:numRef>
              <c:f>'Arret hebdo par Batiment'!$C$5:$C$16</c:f>
              <c:numCache>
                <c:formatCode>0</c:formatCode>
                <c:ptCount val="9"/>
                <c:pt idx="0">
                  <c:v>17.366666666666671</c:v>
                </c:pt>
                <c:pt idx="1">
                  <c:v>39.18333333333333</c:v>
                </c:pt>
                <c:pt idx="2">
                  <c:v>2.1500000000000004</c:v>
                </c:pt>
                <c:pt idx="3">
                  <c:v>3.5000000000000009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EF-490D-BA9D-C6FFBF708219}"/>
            </c:ext>
          </c:extLst>
        </c:ser>
        <c:ser>
          <c:idx val="2"/>
          <c:order val="2"/>
          <c:tx>
            <c:strRef>
              <c:f>'Arret hebdo par Batiment'!$D$3:$D$4</c:f>
              <c:strCache>
                <c:ptCount val="1"/>
                <c:pt idx="0">
                  <c:v>TEM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'Arret hebdo par Batiment'!$A$5:$A$16</c:f>
              <c:multiLvlStrCache>
                <c:ptCount val="9"/>
                <c:lvl>
                  <c:pt idx="0">
                    <c:v>2026-S01</c:v>
                  </c:pt>
                  <c:pt idx="1">
                    <c:v>2026-S02</c:v>
                  </c:pt>
                  <c:pt idx="2">
                    <c:v>2026-S03</c:v>
                  </c:pt>
                  <c:pt idx="3">
                    <c:v>2026-S04</c:v>
                  </c:pt>
                  <c:pt idx="4">
                    <c:v>2026-S05</c:v>
                  </c:pt>
                  <c:pt idx="5">
                    <c:v>2026-S02</c:v>
                  </c:pt>
                  <c:pt idx="6">
                    <c:v>2026-S03</c:v>
                  </c:pt>
                  <c:pt idx="7">
                    <c:v>2026-S04</c:v>
                  </c:pt>
                  <c:pt idx="8">
                    <c:v>2026-S05</c:v>
                  </c:pt>
                </c:lvl>
                <c:lvl>
                  <c:pt idx="0">
                    <c:v>BERRECHID</c:v>
                  </c:pt>
                  <c:pt idx="5">
                    <c:v>TEMARA</c:v>
                  </c:pt>
                </c:lvl>
              </c:multiLvlStrCache>
            </c:multiLvlStrRef>
          </c:cat>
          <c:val>
            <c:numRef>
              <c:f>'Arret hebdo par Batiment'!$D$5:$D$16</c:f>
              <c:numCache>
                <c:formatCode>0</c:formatCode>
                <c:ptCount val="9"/>
                <c:pt idx="5">
                  <c:v>72.336666666666673</c:v>
                </c:pt>
                <c:pt idx="6">
                  <c:v>59.153333333333379</c:v>
                </c:pt>
                <c:pt idx="7">
                  <c:v>56.666666666666742</c:v>
                </c:pt>
                <c:pt idx="8">
                  <c:v>24.000000000000043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EF-490D-BA9D-C6FFBF708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95209408"/>
        <c:axId val="495209888"/>
      </c:barChart>
      <c:catAx>
        <c:axId val="49520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209888"/>
        <c:crosses val="autoZero"/>
        <c:auto val="1"/>
        <c:lblAlgn val="ctr"/>
        <c:lblOffset val="100"/>
        <c:noMultiLvlLbl val="0"/>
      </c:catAx>
      <c:valAx>
        <c:axId val="49520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20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[Suivi des arrêts production Berrechid 30-01-2026.xlsx]Arret hebdo % maroc!Tableau croisé dynamique1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'Arret hebdo % maroc'!$B$3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'Arret hebdo % maroc'!$A$4:$A$15</c:f>
              <c:multiLvlStrCache>
                <c:ptCount val="9"/>
                <c:lvl>
                  <c:pt idx="0">
                    <c:v>2026-S01</c:v>
                  </c:pt>
                  <c:pt idx="1">
                    <c:v>2026-S02</c:v>
                  </c:pt>
                  <c:pt idx="2">
                    <c:v>2026-S03</c:v>
                  </c:pt>
                  <c:pt idx="3">
                    <c:v>2026-S04</c:v>
                  </c:pt>
                  <c:pt idx="4">
                    <c:v>2026-S05</c:v>
                  </c:pt>
                  <c:pt idx="5">
                    <c:v>2026-S02</c:v>
                  </c:pt>
                  <c:pt idx="6">
                    <c:v>2026-S03</c:v>
                  </c:pt>
                  <c:pt idx="7">
                    <c:v>2026-S04</c:v>
                  </c:pt>
                  <c:pt idx="8">
                    <c:v>2026-S05</c:v>
                  </c:pt>
                </c:lvl>
                <c:lvl>
                  <c:pt idx="0">
                    <c:v>BERRECHID</c:v>
                  </c:pt>
                  <c:pt idx="5">
                    <c:v>TEMARA</c:v>
                  </c:pt>
                </c:lvl>
              </c:multiLvlStrCache>
            </c:multiLvlStrRef>
          </c:cat>
          <c:val>
            <c:numRef>
              <c:f>'Arret hebdo % maroc'!$B$4:$B$15</c:f>
              <c:numCache>
                <c:formatCode>0.00%</c:formatCode>
                <c:ptCount val="9"/>
                <c:pt idx="0">
                  <c:v>1.3455578512396694E-2</c:v>
                </c:pt>
                <c:pt idx="1">
                  <c:v>6.1145402892561984E-2</c:v>
                </c:pt>
                <c:pt idx="2">
                  <c:v>1.5127840909090903E-2</c:v>
                </c:pt>
                <c:pt idx="3">
                  <c:v>1.902376033057851E-2</c:v>
                </c:pt>
                <c:pt idx="4">
                  <c:v>1.1131198347107433E-2</c:v>
                </c:pt>
                <c:pt idx="5">
                  <c:v>0.11586870205090012</c:v>
                </c:pt>
                <c:pt idx="6">
                  <c:v>9.7647906456211228E-2</c:v>
                </c:pt>
                <c:pt idx="7">
                  <c:v>9.1763716045230453E-2</c:v>
                </c:pt>
                <c:pt idx="8">
                  <c:v>4.1820824524312968E-2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DE-4DE9-8BD6-C9F33C301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209408"/>
        <c:axId val="495209888"/>
      </c:barChart>
      <c:catAx>
        <c:axId val="49520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209888"/>
        <c:crosses val="autoZero"/>
        <c:auto val="1"/>
        <c:lblAlgn val="ctr"/>
        <c:lblOffset val="100"/>
        <c:noMultiLvlLbl val="0"/>
      </c:catAx>
      <c:valAx>
        <c:axId val="49520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20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[Suivi des arrêts production Berrechid 30-01-2026.xlsx]Arret hebdo maroc!Tableau croisé dynamique1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'Arret hebdo maroc'!$B$3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'Arret hebdo maroc'!$A$4:$A$15</c:f>
              <c:multiLvlStrCache>
                <c:ptCount val="9"/>
                <c:lvl>
                  <c:pt idx="0">
                    <c:v>2026-S01</c:v>
                  </c:pt>
                  <c:pt idx="1">
                    <c:v>2026-S02</c:v>
                  </c:pt>
                  <c:pt idx="2">
                    <c:v>2026-S03</c:v>
                  </c:pt>
                  <c:pt idx="3">
                    <c:v>2026-S04</c:v>
                  </c:pt>
                  <c:pt idx="4">
                    <c:v>2026-S05</c:v>
                  </c:pt>
                  <c:pt idx="5">
                    <c:v>2026-S02</c:v>
                  </c:pt>
                  <c:pt idx="6">
                    <c:v>2026-S03</c:v>
                  </c:pt>
                  <c:pt idx="7">
                    <c:v>2026-S04</c:v>
                  </c:pt>
                  <c:pt idx="8">
                    <c:v>2026-S05</c:v>
                  </c:pt>
                </c:lvl>
                <c:lvl>
                  <c:pt idx="0">
                    <c:v>BERRECHID</c:v>
                  </c:pt>
                  <c:pt idx="5">
                    <c:v>TEMARA</c:v>
                  </c:pt>
                </c:lvl>
              </c:multiLvlStrCache>
            </c:multiLvlStrRef>
          </c:cat>
          <c:val>
            <c:numRef>
              <c:f>'Arret hebdo maroc'!$B$4:$B$15</c:f>
              <c:numCache>
                <c:formatCode>0</c:formatCode>
                <c:ptCount val="9"/>
                <c:pt idx="0">
                  <c:v>17.366666666666671</c:v>
                </c:pt>
                <c:pt idx="1">
                  <c:v>82.25</c:v>
                </c:pt>
                <c:pt idx="2">
                  <c:v>28.233333333333327</c:v>
                </c:pt>
                <c:pt idx="3">
                  <c:v>32.333333333333336</c:v>
                </c:pt>
                <c:pt idx="4">
                  <c:v>20.999999999999993</c:v>
                </c:pt>
                <c:pt idx="5">
                  <c:v>72.336666666666673</c:v>
                </c:pt>
                <c:pt idx="6">
                  <c:v>59.153333333333379</c:v>
                </c:pt>
                <c:pt idx="7">
                  <c:v>56.666666666666742</c:v>
                </c:pt>
                <c:pt idx="8">
                  <c:v>24.000000000000043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E-4827-A87D-379D5C616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209408"/>
        <c:axId val="495209888"/>
      </c:barChart>
      <c:catAx>
        <c:axId val="49520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209888"/>
        <c:crosses val="autoZero"/>
        <c:auto val="1"/>
        <c:lblAlgn val="ctr"/>
        <c:lblOffset val="100"/>
        <c:noMultiLvlLbl val="0"/>
      </c:catAx>
      <c:valAx>
        <c:axId val="49520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20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[Suivi des arrêts production Berrechid 30-01-2026.xlsx]Arret hebdo par service!Tableau croisé dynamique1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5.8565153733528552E-3"/>
              <c:y val="-0.1684981684981685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'Arret hebdo par service'!$B$5:$B$6</c:f>
              <c:strCache>
                <c:ptCount val="1"/>
                <c:pt idx="0">
                  <c:v>Bât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'Arret hebdo par service'!$A$7:$A$19</c:f>
              <c:multiLvlStrCache>
                <c:ptCount val="10"/>
                <c:lvl>
                  <c:pt idx="0">
                    <c:v>MAINTENANCE</c:v>
                  </c:pt>
                  <c:pt idx="1">
                    <c:v>SUPPLY</c:v>
                  </c:pt>
                  <c:pt idx="2">
                    <c:v>TECHNIQUE</c:v>
                  </c:pt>
                  <c:pt idx="3">
                    <c:v>FORMATION</c:v>
                  </c:pt>
                  <c:pt idx="4">
                    <c:v>MAINTENANCE</c:v>
                  </c:pt>
                  <c:pt idx="5">
                    <c:v>SUPPLY</c:v>
                  </c:pt>
                  <c:pt idx="6">
                    <c:v>IT</c:v>
                  </c:pt>
                  <c:pt idx="7">
                    <c:v>ORGANISATION</c:v>
                  </c:pt>
                  <c:pt idx="8">
                    <c:v>ACHAT</c:v>
                  </c:pt>
                  <c:pt idx="9">
                    <c:v>TECHNIQUE</c:v>
                  </c:pt>
                </c:lvl>
                <c:lvl>
                  <c:pt idx="0">
                    <c:v>2026-S03</c:v>
                  </c:pt>
                  <c:pt idx="4">
                    <c:v>2026-S04</c:v>
                  </c:pt>
                </c:lvl>
              </c:multiLvlStrCache>
            </c:multiLvlStrRef>
          </c:cat>
          <c:val>
            <c:numRef>
              <c:f>'Arret hebdo par service'!$B$7:$B$19</c:f>
              <c:numCache>
                <c:formatCode>0</c:formatCode>
                <c:ptCount val="10"/>
                <c:pt idx="0">
                  <c:v>16.833333333333329</c:v>
                </c:pt>
                <c:pt idx="1">
                  <c:v>6.166666666666667</c:v>
                </c:pt>
                <c:pt idx="2">
                  <c:v>2.333333333333333</c:v>
                </c:pt>
                <c:pt idx="3">
                  <c:v>0.75</c:v>
                </c:pt>
                <c:pt idx="4">
                  <c:v>12.916666666666668</c:v>
                </c:pt>
                <c:pt idx="5">
                  <c:v>10.416666666666668</c:v>
                </c:pt>
                <c:pt idx="6">
                  <c:v>0.99999999999999911</c:v>
                </c:pt>
                <c:pt idx="7">
                  <c:v>3</c:v>
                </c:pt>
                <c:pt idx="8">
                  <c:v>0.99999999999999911</c:v>
                </c:pt>
                <c:pt idx="9">
                  <c:v>0.50000000000000089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2-4E49-8AAB-03E1362F4D9C}"/>
            </c:ext>
          </c:extLst>
        </c:ser>
        <c:ser>
          <c:idx val="1"/>
          <c:order val="1"/>
          <c:tx>
            <c:strRef>
              <c:f>'Arret hebdo par service'!$C$5:$C$6</c:f>
              <c:strCache>
                <c:ptCount val="1"/>
                <c:pt idx="0">
                  <c:v>Bât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'Arret hebdo par service'!$A$7:$A$19</c:f>
              <c:multiLvlStrCache>
                <c:ptCount val="10"/>
                <c:lvl>
                  <c:pt idx="0">
                    <c:v>MAINTENANCE</c:v>
                  </c:pt>
                  <c:pt idx="1">
                    <c:v>SUPPLY</c:v>
                  </c:pt>
                  <c:pt idx="2">
                    <c:v>TECHNIQUE</c:v>
                  </c:pt>
                  <c:pt idx="3">
                    <c:v>FORMATION</c:v>
                  </c:pt>
                  <c:pt idx="4">
                    <c:v>MAINTENANCE</c:v>
                  </c:pt>
                  <c:pt idx="5">
                    <c:v>SUPPLY</c:v>
                  </c:pt>
                  <c:pt idx="6">
                    <c:v>IT</c:v>
                  </c:pt>
                  <c:pt idx="7">
                    <c:v>ORGANISATION</c:v>
                  </c:pt>
                  <c:pt idx="8">
                    <c:v>ACHAT</c:v>
                  </c:pt>
                  <c:pt idx="9">
                    <c:v>TECHNIQUE</c:v>
                  </c:pt>
                </c:lvl>
                <c:lvl>
                  <c:pt idx="0">
                    <c:v>2026-S03</c:v>
                  </c:pt>
                  <c:pt idx="4">
                    <c:v>2026-S04</c:v>
                  </c:pt>
                </c:lvl>
              </c:multiLvlStrCache>
            </c:multiLvlStrRef>
          </c:cat>
          <c:val>
            <c:numRef>
              <c:f>'Arret hebdo par service'!$C$7:$C$19</c:f>
              <c:numCache>
                <c:formatCode>0</c:formatCode>
                <c:ptCount val="10"/>
                <c:pt idx="2">
                  <c:v>2.1500000000000004</c:v>
                </c:pt>
                <c:pt idx="6">
                  <c:v>3.5000000000000009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AE2-4E49-8AAB-03E1362F4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95209408"/>
        <c:axId val="495209888"/>
      </c:barChart>
      <c:catAx>
        <c:axId val="49520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209888"/>
        <c:crosses val="autoZero"/>
        <c:auto val="1"/>
        <c:lblAlgn val="ctr"/>
        <c:lblOffset val="100"/>
        <c:noMultiLvlLbl val="0"/>
      </c:catAx>
      <c:valAx>
        <c:axId val="49520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20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4</xdr:row>
      <xdr:rowOff>106680</xdr:rowOff>
    </xdr:from>
    <xdr:to>
      <xdr:col>15</xdr:col>
      <xdr:colOff>480060</xdr:colOff>
      <xdr:row>30</xdr:row>
      <xdr:rowOff>83820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00528BC-6728-47D2-9EC6-15E1E7C08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1432560</xdr:colOff>
      <xdr:row>5</xdr:row>
      <xdr:rowOff>30480</xdr:rowOff>
    </xdr:from>
    <xdr:to>
      <xdr:col>11</xdr:col>
      <xdr:colOff>228600</xdr:colOff>
      <xdr:row>32</xdr:row>
      <xdr:rowOff>106680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84EC1C0-B34F-4523-A214-D730C95D57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1409700</xdr:colOff>
      <xdr:row>6</xdr:row>
      <xdr:rowOff>129540</xdr:rowOff>
    </xdr:from>
    <xdr:to>
      <xdr:col>9</xdr:col>
      <xdr:colOff>381000</xdr:colOff>
      <xdr:row>32</xdr:row>
      <xdr:rowOff>106680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0D94033-12DF-827A-CC80-EEF3F7E993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177164</xdr:rowOff>
    </xdr:from>
    <xdr:to>
      <xdr:col>10</xdr:col>
      <xdr:colOff>480060</xdr:colOff>
      <xdr:row>32</xdr:row>
      <xdr:rowOff>15240</xdr:rowOff>
    </xdr:to>
    <xdr:graphicFrame macro="">
      <xdr:nvGraphicFramePr>
        <xdr:cNvPr id="2" name="Graphique 1" descr="Type de graphique : Barres groupées. « Durée en H » par « Semaine »&#10;&#10;Description générée automatiquement">
          <a:extLst>
            <a:ext uri="{FF2B5EF4-FFF2-40B4-BE49-F238E27FC236}">
              <a16:creationId xmlns:a16="http://schemas.microsoft.com/office/drawing/2014/main" id="{77E8101C-56BC-443C-961A-5B7569FF1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333375</xdr:colOff>
      <xdr:row>4</xdr:row>
      <xdr:rowOff>104774</xdr:rowOff>
    </xdr:from>
    <xdr:to>
      <xdr:col>13</xdr:col>
      <xdr:colOff>411480</xdr:colOff>
      <xdr:row>33</xdr:row>
      <xdr:rowOff>123825</xdr:rowOff>
    </xdr:to>
    <xdr:graphicFrame macro="">
      <xdr:nvGraphicFramePr>
        <xdr:cNvPr id="3" name="Graphique 1" descr="Type de graphique : Barres groupées. « Durée en H » par « Semaine »&#10;&#10;Description générée automatiquement">
          <a:extLst>
            <a:ext uri="{FF2B5EF4-FFF2-40B4-BE49-F238E27FC236}">
              <a16:creationId xmlns:a16="http://schemas.microsoft.com/office/drawing/2014/main" id="{EF513B29-5423-4E66-A394-6D5DC13D31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737235</xdr:colOff>
      <xdr:row>23</xdr:row>
      <xdr:rowOff>3809</xdr:rowOff>
    </xdr:from>
    <xdr:to>
      <xdr:col>10</xdr:col>
      <xdr:colOff>596265</xdr:colOff>
      <xdr:row>52</xdr:row>
      <xdr:rowOff>22860</xdr:rowOff>
    </xdr:to>
    <xdr:graphicFrame macro="">
      <xdr:nvGraphicFramePr>
        <xdr:cNvPr id="2" name="Graphique 1" descr="Type de graphique : Barres groupées. « Durée en H » par « Semaine »&#10;&#10;Description générée automatiquement">
          <a:extLst>
            <a:ext uri="{FF2B5EF4-FFF2-40B4-BE49-F238E27FC236}">
              <a16:creationId xmlns:a16="http://schemas.microsoft.com/office/drawing/2014/main" id="{92F49726-E3EF-4864-B45E-665386E72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0</xdr:row>
      <xdr:rowOff>180975</xdr:rowOff>
    </xdr:from>
    <xdr:to>
      <xdr:col>9</xdr:col>
      <xdr:colOff>733425</xdr:colOff>
      <xdr:row>19</xdr:row>
      <xdr:rowOff>28575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1BCA384-A0ED-4E88-AAE8-37383D6E8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171450</xdr:rowOff>
    </xdr:from>
    <xdr:to>
      <xdr:col>8</xdr:col>
      <xdr:colOff>190500</xdr:colOff>
      <xdr:row>17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1CC1592-3629-4A0A-8338-F4CD3A72E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0</xdr:row>
      <xdr:rowOff>180975</xdr:rowOff>
    </xdr:from>
    <xdr:to>
      <xdr:col>8</xdr:col>
      <xdr:colOff>342900</xdr:colOff>
      <xdr:row>15</xdr:row>
      <xdr:rowOff>66675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6F99C97-B2D4-D811-E85E-3782DC333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4</xdr:row>
      <xdr:rowOff>104775</xdr:rowOff>
    </xdr:from>
    <xdr:to>
      <xdr:col>9</xdr:col>
      <xdr:colOff>666750</xdr:colOff>
      <xdr:row>22</xdr:row>
      <xdr:rowOff>142875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98663E7-22A9-4481-94CC-D8DB1F06C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6048.670250115742" createdVersion="8" refreshedVersion="8" minRefreshableVersion="3" recordCount="161">
  <cacheSource type="worksheet">
    <worksheetSource ref="A1:R161" sheet="  Journal de Bord des Arrêts"/>
  </cacheSource>
  <cacheFields count="18">
    <cacheField name="Site " numFmtId="0">
      <sharedItems containsBlank="1" count="3">
        <s v="Temara"/>
        <s v="Berrechid"/>
        <m u="1"/>
      </sharedItems>
    </cacheField>
    <cacheField name="Bâtiment " numFmtId="0">
      <sharedItems/>
    </cacheField>
    <cacheField name="Date" numFmtId="14">
      <sharedItems containsSemiMixedTypes="0" containsNonDate="0" containsDate="1" containsString="0" minDate="2025-12-01T00:00:00" maxDate="2026-01-23T00:00:00"/>
    </cacheField>
    <cacheField name="Semaine" numFmtId="0">
      <sharedItems containsBlank="1" count="10">
        <s v="2025-S49"/>
        <s v="2025-S50"/>
        <s v="2025-S51"/>
        <s v="2025-S52"/>
        <s v="2025-S53"/>
        <s v="2026-S01"/>
        <s v="2026-S02"/>
        <s v="2026-S03"/>
        <s v="2026-S04"/>
        <m u="1"/>
      </sharedItems>
    </cacheField>
    <cacheField name="Mois" numFmtId="14">
      <sharedItems/>
    </cacheField>
    <cacheField name="Année" numFmtId="0">
      <sharedItems containsSemiMixedTypes="0" containsString="0" containsNumber="1" containsInteger="1" minValue="2025" maxValue="2026"/>
    </cacheField>
    <cacheField name="Demandeur " numFmtId="0">
      <sharedItems/>
    </cacheField>
    <cacheField name="Équipe" numFmtId="0">
      <sharedItems/>
    </cacheField>
    <cacheField name="Processus" numFmtId="0">
      <sharedItems/>
    </cacheField>
    <cacheField name="Poste/Mac:ine" numFmtId="0">
      <sharedItems/>
    </cacheField>
    <cacheField name="Client " numFmtId="0">
      <sharedItems containsBlank="1" count="14">
        <s v="Leclanché"/>
        <s v="ABB"/>
        <s v="IES"/>
        <s v="EDMI"/>
        <s v="EMS"/>
        <s v="MERCK"/>
        <s v="CP"/>
        <s v="SERAP"/>
        <s v="Le reste"/>
        <s v="Ratier- Merck Horiba"/>
        <s v="Soluscope"/>
        <m/>
        <s v="ENSTO-NOVEXIA"/>
        <s v="Distech"/>
      </sharedItems>
    </cacheField>
    <cacheField name="Le reste" numFmtId="0">
      <sharedItems/>
    </cacheField>
    <cacheField name="Référence" numFmtId="0">
      <sharedItems containsMixedTypes="1" containsNumber="1" containsInteger="1" minValue="5001" maxValue="5075"/>
    </cacheField>
    <cacheField name="Heure début" numFmtId="0">
      <sharedItems containsDate="1" containsMixedTypes="1" minDate="1899-12-30T00:00:00" maxDate="1900-01-11T15:10:00"/>
    </cacheField>
    <cacheField name="Heure fin" numFmtId="0">
      <sharedItems containsDate="1" containsMixedTypes="1" minDate="1899-12-30T00:00:00" maxDate="1900-01-11T18:00:00"/>
    </cacheField>
    <cacheField name="Durée en :H" numFmtId="2">
      <sharedItems containsSemiMixedTypes="0" containsString="0" containsNumber="1" minValue="0.25000000000000044" maxValue="59"/>
    </cacheField>
    <cacheField name="Nbr d'équipe" numFmtId="0">
      <sharedItems containsSemiMixedTypes="0" containsString="0" containsNumber="1" containsInteger="1" minValue="1" maxValue="3"/>
    </cacheField>
    <cacheField name="Lien" numFmtId="1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Excel Services" refreshedDate="46050.668249884257" createdVersion="8" refreshedVersion="8" minRefreshableVersion="3" recordCount="192">
  <cacheSource type="worksheet">
    <worksheetSource ref="A1:W433" sheet="  Journal de Bord des Arrêts"/>
  </cacheSource>
  <cacheFields count="23">
    <cacheField name="Site " numFmtId="0">
      <sharedItems containsBlank="1" count="3">
        <s v="TEMARA"/>
        <s v="BERRECHID"/>
        <m/>
      </sharedItems>
    </cacheField>
    <cacheField name="Bâtiment " numFmtId="0">
      <sharedItems containsBlank="1"/>
    </cacheField>
    <cacheField name="Date" numFmtId="166">
      <sharedItems containsNonDate="0" containsDate="1" containsString="0" containsBlank="1" minDate="2025-12-01T00:00:00" maxDate="2026-01-29T00:00:00"/>
    </cacheField>
    <cacheField name="Semaine" numFmtId="0">
      <sharedItems containsBlank="1" count="11">
        <s v="2025-S49"/>
        <s v="2025-S50"/>
        <s v="2025-S51"/>
        <s v="2025-S52"/>
        <s v="2025-S53"/>
        <s v="2026-S01"/>
        <s v="2026-S02"/>
        <s v="2026-S03"/>
        <s v="2026-S04"/>
        <s v="2026-S05"/>
        <m/>
      </sharedItems>
    </cacheField>
    <cacheField name="Mois" numFmtId="14">
      <sharedItems containsBlank="1" count="3">
        <s v="2025-M12"/>
        <s v="2026-M01"/>
        <m/>
      </sharedItems>
    </cacheField>
    <cacheField name="Année" numFmtId="0">
      <sharedItems containsString="0" containsBlank="1" containsNumber="1" containsInteger="1" minValue="2025" maxValue="2026"/>
    </cacheField>
    <cacheField name="Demandeur " numFmtId="0">
      <sharedItems containsBlank="1"/>
    </cacheField>
    <cacheField name="Équipe" numFmtId="0">
      <sharedItems containsBlank="1"/>
    </cacheField>
    <cacheField name="Processus" numFmtId="0">
      <sharedItems containsBlank="1"/>
    </cacheField>
    <cacheField name="Poste/Machine" numFmtId="0">
      <sharedItems containsBlank="1"/>
    </cacheField>
    <cacheField name="Client " numFmtId="0">
      <sharedItems containsBlank="1"/>
    </cacheField>
    <cacheField name="Le reste" numFmtId="0">
      <sharedItems containsBlank="1"/>
    </cacheField>
    <cacheField name="Référence" numFmtId="0">
      <sharedItems containsBlank="1" containsMixedTypes="1" containsNumber="1" containsInteger="1" minValue="5001" maxValue="5527"/>
    </cacheField>
    <cacheField name="Heure début" numFmtId="0">
      <sharedItems containsNonDate="0" containsDate="1" containsString="0" containsBlank="1" minDate="1899-12-30T00:00:00" maxDate="1899-12-30T23:15:00"/>
    </cacheField>
    <cacheField name="Heure fin" numFmtId="0">
      <sharedItems containsNonDate="0" containsDate="1" containsString="0" containsBlank="1" minDate="1899-12-30T00:00:00" maxDate="1899-12-30T23:55:00"/>
    </cacheField>
    <cacheField name="Durée en :H" numFmtId="0">
      <sharedItems containsString="0" containsBlank="1" containsNumber="1" minValue="0.25000000000000044" maxValue="59"/>
    </cacheField>
    <cacheField name="Nbr d'équipe" numFmtId="0">
      <sharedItems containsString="0" containsBlank="1" containsNumber="1" containsInteger="1" minValue="1" maxValue="3"/>
    </cacheField>
    <cacheField name="Lien" numFmtId="0">
      <sharedItems containsBlank="1"/>
    </cacheField>
    <cacheField name="Impact Productivité par client" numFmtId="0">
      <sharedItems containsString="0" containsBlank="1" containsNumber="1" minValue="9.2975206611570419E-5" maxValue="4.9079257159331154E-2"/>
    </cacheField>
    <cacheField name="Sous-Famille Précise" numFmtId="0">
      <sharedItems containsBlank="1" count="83">
        <s v="Rupture approvisionnement"/>
        <s v="Défaut d'aspect / Finition"/>
        <s v="Non-conformité structurelle"/>
        <s v="Casse mécanique sur produit"/>
        <s v="Interruption flux opératoire"/>
        <s v="Défaut traitement de surface"/>
        <s v="Blocage accès logiciel"/>
        <s v="Usure / Dégradation outillage"/>
        <s v="Panne matériel informatique"/>
        <s v="Échec lecture / Identification"/>
        <s v="Carence équipement de poste"/>
        <s v="Incident édition / Marquage"/>
        <s v="Réglage technique / Maintenance"/>
        <s v="Conflit interface de test"/>
        <s v="Défaillance électrique banc de  test"/>
        <s v="Bug logiciel machine CMS"/>
        <s v="Dérive process (Nettoyage)"/>
        <s v="Panne mécanique convoyage"/>
        <s v="Changement de série (Setup)"/>
        <s v="Apprentissage / Baisse cadence"/>
        <s v="Remplacement de poste"/>
        <s v="Arrêt énergie général"/>
        <s v="Erreur de sérialisation"/>
        <s v="Incident environnemental"/>
        <s v="Perte efficience changement"/>
        <s v="Écart stock physique/système"/>
        <s v="Incident secteur majeur"/>
        <s v="Mise au point logicielle"/>
        <s v="Panne matériel sécurité élec"/>
        <s v="Déploiement logiciel"/>
        <s v="Adaptation pneumatique"/>
        <s v="Taux de rejet excessif"/>
        <s v="Panne applicative banc"/>
        <s v="Lancement Nouvelle Réf (Validation)"/>
        <s v="Incident mécanique machine"/>
        <s v="Temps mort / Attente expert"/>
        <s v="Goulot d'étranglement test"/>
        <s v="Instabilité matériel (Pointes)"/>
        <s v="Panne matérielle banc"/>
        <s v="Déséquilibre de flux aval"/>
        <s v="Indisponibilité excessive"/>
        <s v="Panne logicielle testeur"/>
        <s v="Contrainte environnementale"/>
        <s v="Défaillance réseau pneumatique"/>
        <s v="Retard lancement test"/>
        <s v="Panne curative machine"/>
        <s v="Défaillance méca répétitive"/>
        <s v="Blocage attente décision"/>
        <s v="Arrêt énergie nocturne"/>
        <s v="Coupure réseau informatique"/>
        <s v="Audit / Standard 5S"/>
        <s v="Réorganisation physique"/>
        <s v="Manque accessoires de pose"/>
        <s v="Anomalie alim programmateur"/>
        <s v="Accident travail / Incident élec"/>
        <s v="Perte intégrité données test"/>
        <s v="Défaut paramétrage logiciel"/>
        <s v="Incident traçabilité système"/>
        <s v="Délai technique externe"/>
        <s v="Panne pièce d'usure banc"/>
        <s v="Défaut traitement surface"/>
        <s v="Réparation curative"/>
        <s v="Incident remise en service"/>
        <s v="Instabilité équipement contrôle"/>
        <s v="icident mecanique machine"/>
        <s v="Aménagement poste travail"/>
        <s v="Erreur manipulation logiciel"/>
        <s v="Anomalie fonctionnelle produit"/>
        <s v="Coupure infrastructure réseau"/>
        <s v="Audit client / Standard 5S"/>
        <s v="Adaptation mode opératoire"/>
        <s v="Défaut coordination matériel"/>
        <s v="Maintenance informatique"/>
        <s v="Alimentation Bobines à la CMS"/>
        <s v="Nettoyage / Entretien préventif"/>
        <s v="Conflit système / Format"/>
        <s v="Problème communication"/>
        <m/>
        <s v="Défaillance électrique banc" u="1"/>
        <s v="Usure infrastructure ligne" u="1"/>
        <s v="Setup / Préparation bobines" u="1"/>
        <s v="Changement de série / Setup" u="1"/>
        <s v="Setup / Manutention" u="1"/>
      </sharedItems>
    </cacheField>
    <cacheField name="Description" numFmtId="0">
      <sharedItems containsBlank="1"/>
    </cacheField>
    <cacheField name="Service" numFmtId="0">
      <sharedItems containsBlank="1" count="11">
        <s v="SUPPLY"/>
        <s v="MAINTENANCE"/>
        <s v="TECHNIQUE"/>
        <s v="IT"/>
        <s v="PRODUCTION"/>
        <s v="FORMATION"/>
        <s v="ORGANISATION"/>
        <s v="ACHAT"/>
        <m/>
        <s v="Visite" u="1"/>
        <s v="Visite ABB" u="1"/>
      </sharedItems>
    </cacheField>
    <cacheField name="Traité pa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Excel Services" refreshedDate="46050.66850590278" createdVersion="8" refreshedVersion="8" minRefreshableVersion="3" recordCount="49">
  <cacheSource type="worksheet">
    <worksheetSource ref="A1:W49" sheet="  Journal de Bord des Arrêts"/>
  </cacheSource>
  <cacheFields count="23">
    <cacheField name="Site " numFmtId="0">
      <sharedItems count="4">
        <s v="TEMARA"/>
        <s v="BERRECHID"/>
        <s v="Berrec:id " u="1"/>
        <s v="Berrechid " u="1"/>
      </sharedItems>
    </cacheField>
    <cacheField name="Bâtiment " numFmtId="0">
      <sharedItems/>
    </cacheField>
    <cacheField name="Date" numFmtId="166">
      <sharedItems containsSemiMixedTypes="0" containsNonDate="0" containsDate="1" containsString="0" minDate="2025-12-01T00:00:00" maxDate="2025-12-29T00:00:00"/>
    </cacheField>
    <cacheField name="Semaine" numFmtId="0">
      <sharedItems count="7">
        <s v="2025-S49"/>
        <s v="2025-S50"/>
        <s v="2025-S51"/>
        <s v="2025-S52"/>
        <s v="2025-S53"/>
        <s v="2025-S20" u="1"/>
        <s v="2025-S33" u="1"/>
      </sharedItems>
    </cacheField>
    <cacheField name="Mois" numFmtId="14">
      <sharedItems/>
    </cacheField>
    <cacheField name="Année" numFmtId="0">
      <sharedItems containsSemiMixedTypes="0" containsString="0" containsNumber="1" containsInteger="1" minValue="2025" maxValue="2025"/>
    </cacheField>
    <cacheField name="Demandeur " numFmtId="0">
      <sharedItems/>
    </cacheField>
    <cacheField name="Équipe" numFmtId="0">
      <sharedItems/>
    </cacheField>
    <cacheField name="Processus" numFmtId="0">
      <sharedItems/>
    </cacheField>
    <cacheField name="Poste/Machine" numFmtId="0">
      <sharedItems/>
    </cacheField>
    <cacheField name="Client " numFmtId="0">
      <sharedItems/>
    </cacheField>
    <cacheField name="Le reste" numFmtId="0">
      <sharedItems/>
    </cacheField>
    <cacheField name="Référence" numFmtId="0">
      <sharedItems containsMixedTypes="1" containsNumber="1" containsInteger="1" minValue="5001" maxValue="5075"/>
    </cacheField>
    <cacheField name="Heure début" numFmtId="20">
      <sharedItems containsSemiMixedTypes="0" containsNonDate="0" containsDate="1" containsString="0" minDate="1899-12-30T06:00:00" maxDate="1899-12-30T22:00:00"/>
    </cacheField>
    <cacheField name="Heure fin" numFmtId="20">
      <sharedItems containsSemiMixedTypes="0" containsNonDate="0" containsDate="1" containsString="0" minDate="1899-12-30T06:24:00" maxDate="1899-12-30T23:42:00"/>
    </cacheField>
    <cacheField name="Durée en :H" numFmtId="2">
      <sharedItems containsSemiMixedTypes="0" containsString="0" containsNumber="1" minValue="0.33333333333333348" maxValue="59"/>
    </cacheField>
    <cacheField name="Nbr d'équipe" numFmtId="0">
      <sharedItems containsSemiMixedTypes="0" containsString="0" containsNumber="1" containsInteger="1" minValue="1" maxValue="3"/>
    </cacheField>
    <cacheField name="Lien" numFmtId="1">
      <sharedItems/>
    </cacheField>
    <cacheField name="Impact Productivité par client" numFmtId="10">
      <sharedItems containsSemiMixedTypes="0" containsString="0" containsNumber="1" minValue="9.2975206611570419E-5" maxValue="4.9079257159331154E-2"/>
    </cacheField>
    <cacheField name="Sous-Famille Précise" numFmtId="0">
      <sharedItems/>
    </cacheField>
    <cacheField name="Description" numFmtId="0">
      <sharedItems/>
    </cacheField>
    <cacheField name="Service" numFmtId="0">
      <sharedItems containsBlank="1" count="12">
        <s v="SUPPLY"/>
        <s v="MAINTENANCE"/>
        <s v="TECHNIQUE"/>
        <s v="IT"/>
        <s v="PRODUCTION"/>
        <s v="FORMATION"/>
        <s v="Tec:nique" u="1"/>
        <s v="Bâtiment" u="1"/>
        <s v="Test" u="1"/>
        <s v="Méthodes" u="1"/>
        <s v="Client" u="1"/>
        <m u="1"/>
      </sharedItems>
    </cacheField>
    <cacheField name="Traité pa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Excel Services" refreshedDate="46050.669300347225" createdVersion="8" refreshedVersion="8" minRefreshableVersion="3" recordCount="192">
  <cacheSource type="worksheet">
    <worksheetSource ref="A1:W1048576" sheet="  Journal de Bord des Arrêts"/>
  </cacheSource>
  <cacheFields count="23">
    <cacheField name="Site " numFmtId="0">
      <sharedItems containsBlank="1" count="3">
        <s v="TEMARA"/>
        <s v="BERRECHID"/>
        <m/>
      </sharedItems>
    </cacheField>
    <cacheField name="Bâtiment " numFmtId="0">
      <sharedItems containsBlank="1" count="4">
        <s v="TEM"/>
        <s v="Bât B"/>
        <s v="Bât A"/>
        <m/>
      </sharedItems>
    </cacheField>
    <cacheField name="Date" numFmtId="166">
      <sharedItems containsNonDate="0" containsDate="1" containsString="0" containsBlank="1" minDate="2025-12-01T00:00:00" maxDate="2026-01-29T00:00:00"/>
    </cacheField>
    <cacheField name="Semaine" numFmtId="0">
      <sharedItems containsBlank="1" count="11">
        <s v="2025-S49"/>
        <s v="2025-S50"/>
        <s v="2025-S51"/>
        <s v="2025-S52"/>
        <s v="2025-S53"/>
        <s v="2026-S01"/>
        <s v="2026-S02"/>
        <s v="2026-S03"/>
        <s v="2026-S04"/>
        <s v="2026-S05"/>
        <m/>
      </sharedItems>
    </cacheField>
    <cacheField name="Mois" numFmtId="14">
      <sharedItems containsBlank="1"/>
    </cacheField>
    <cacheField name="Année" numFmtId="0">
      <sharedItems containsString="0" containsBlank="1" containsNumber="1" containsInteger="1" minValue="2025" maxValue="2026" count="3">
        <n v="2025"/>
        <n v="2026"/>
        <m/>
      </sharedItems>
    </cacheField>
    <cacheField name="Demandeur " numFmtId="0">
      <sharedItems containsBlank="1"/>
    </cacheField>
    <cacheField name="Équipe" numFmtId="0">
      <sharedItems containsBlank="1"/>
    </cacheField>
    <cacheField name="Processus" numFmtId="0">
      <sharedItems containsBlank="1"/>
    </cacheField>
    <cacheField name="Poste/Machine" numFmtId="0">
      <sharedItems containsBlank="1"/>
    </cacheField>
    <cacheField name="Client " numFmtId="0">
      <sharedItems containsBlank="1" count="15">
        <s v="LECLANCHÉ"/>
        <s v="ABB"/>
        <s v="IES"/>
        <s v="EDMI"/>
        <s v="EMS"/>
        <s v="MERCK"/>
        <s v="CP"/>
        <s v="SERAP"/>
        <s v="LE RESTE"/>
        <s v="RATIER- MERCK HORIBA"/>
        <s v="SOLUSCOPE"/>
        <s v=""/>
        <s v="ENSTO-NOVEXIA"/>
        <s v="DISTECH"/>
        <m/>
      </sharedItems>
    </cacheField>
    <cacheField name="Le reste" numFmtId="0">
      <sharedItems containsBlank="1"/>
    </cacheField>
    <cacheField name="Référence" numFmtId="0">
      <sharedItems containsBlank="1" containsMixedTypes="1" containsNumber="1" containsInteger="1" minValue="5001" maxValue="5527"/>
    </cacheField>
    <cacheField name="Heure début" numFmtId="0">
      <sharedItems containsNonDate="0" containsDate="1" containsString="0" containsBlank="1" minDate="1899-12-30T00:00:00" maxDate="1899-12-30T23:15:00"/>
    </cacheField>
    <cacheField name="Heure fin" numFmtId="0">
      <sharedItems containsNonDate="0" containsDate="1" containsString="0" containsBlank="1" minDate="1899-12-30T00:00:00" maxDate="1899-12-30T23:55:00"/>
    </cacheField>
    <cacheField name="Durée en :H" numFmtId="0">
      <sharedItems containsString="0" containsBlank="1" containsNumber="1" minValue="0.25000000000000044" maxValue="59"/>
    </cacheField>
    <cacheField name="Nbr d'équipe" numFmtId="0">
      <sharedItems containsString="0" containsBlank="1" containsNumber="1" containsInteger="1" minValue="1" maxValue="3"/>
    </cacheField>
    <cacheField name="Lien" numFmtId="0">
      <sharedItems containsBlank="1"/>
    </cacheField>
    <cacheField name="Impact Productivité par client" numFmtId="0">
      <sharedItems containsString="0" containsBlank="1" containsNumber="1" minValue="9.2975206611570419E-5" maxValue="4.9079257159331154E-2"/>
    </cacheField>
    <cacheField name="Sous-Famille Précise" numFmtId="0">
      <sharedItems containsBlank="1"/>
    </cacheField>
    <cacheField name="Description" numFmtId="0">
      <sharedItems containsBlank="1"/>
    </cacheField>
    <cacheField name="Service" numFmtId="0">
      <sharedItems containsBlank="1" count="11">
        <s v="SUPPLY"/>
        <s v="MAINTENANCE"/>
        <s v="TECHNIQUE"/>
        <s v="IT"/>
        <s v="PRODUCTION"/>
        <s v="FORMATION"/>
        <s v="ORGANISATION"/>
        <s v="ACHAT"/>
        <m/>
        <s v="Visite" u="1"/>
        <s v="Visite ABB" u="1"/>
      </sharedItems>
    </cacheField>
    <cacheField name="Traité pa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x v="0"/>
    <s v="TEM"/>
    <d v="2025-12-01T00:00:00"/>
    <x v="0"/>
    <s v="2025-M12"/>
    <n v="2025"/>
    <s v="Samira"/>
    <s v="Normale"/>
    <s v="Intégration"/>
    <s v="Intégration"/>
    <x v="0"/>
    <s v="Leclanché"/>
    <s v="FNM+AGC+INTEGR"/>
    <d v="1900-01-11T12:00:00"/>
    <d v="1900-01-11T18:00:00"/>
    <n v="59"/>
    <n v="1"/>
    <s v="1LeclanchéTemara"/>
  </r>
  <r>
    <x v="0"/>
    <s v="TEM"/>
    <d v="2025-12-05T00:00:00"/>
    <x v="0"/>
    <s v="2025-M12"/>
    <n v="2025"/>
    <s v="Dahab"/>
    <s v="Normale"/>
    <s v="Fermeture ultrason"/>
    <s v="T4662-01"/>
    <x v="1"/>
    <s v="ABB"/>
    <n v="5001"/>
    <d v="1900-01-11T12:00:00"/>
    <d v="1900-01-11T18:00:00"/>
    <n v="6"/>
    <n v="1"/>
    <s v="1ABBTemara"/>
  </r>
  <r>
    <x v="0"/>
    <s v="TEM"/>
    <d v="2025-12-08T00:00:00"/>
    <x v="1"/>
    <s v="2025-M12"/>
    <n v="2025"/>
    <s v="Dahab"/>
    <s v="Normale"/>
    <s v="Fermeture ultrason"/>
    <s v="T4662-01"/>
    <x v="1"/>
    <s v="ABB"/>
    <n v="5012"/>
    <d v="1900-01-11T08:30:00"/>
    <d v="1900-01-11T16:30:00"/>
    <n v="8.0000000000000142"/>
    <n v="1"/>
    <s v="1ABBTemara"/>
  </r>
  <r>
    <x v="0"/>
    <s v="TEM"/>
    <d v="2025-12-11T00:00:00"/>
    <x v="1"/>
    <s v="2025-M12"/>
    <n v="2025"/>
    <s v="Samira"/>
    <s v="Normale"/>
    <s v="Sertissage grosse section"/>
    <s v="Pince hudraulique TR1462 T 402"/>
    <x v="0"/>
    <s v="Leclanché"/>
    <s v="LEC0000088"/>
    <d v="1900-01-11T10:00:00"/>
    <d v="1900-01-11T15:00:00"/>
    <n v="5.0000000000000142"/>
    <n v="1"/>
    <s v="1LeclanchéTemara"/>
  </r>
  <r>
    <x v="0"/>
    <s v="TEM"/>
    <d v="2025-12-12T00:00:00"/>
    <x v="1"/>
    <s v="2025-M12"/>
    <n v="2025"/>
    <s v="Dahab"/>
    <s v="Normale"/>
    <s v="Fermeture ultrason"/>
    <s v="T4662-01"/>
    <x v="1"/>
    <s v="ABB"/>
    <n v="5012"/>
    <d v="1900-01-11T11:00:00"/>
    <d v="1900-01-11T12:00:00"/>
    <n v="0.99999999999998579"/>
    <n v="1"/>
    <s v="1ABBTemara"/>
  </r>
  <r>
    <x v="0"/>
    <s v="TEM"/>
    <d v="2025-12-15T00:00:00"/>
    <x v="2"/>
    <s v="2025-M12"/>
    <n v="2025"/>
    <s v="Anas"/>
    <s v="Normale"/>
    <s v="Test"/>
    <s v="T5008-19"/>
    <x v="2"/>
    <s v="Le reste"/>
    <s v="Tower"/>
    <d v="1900-01-11T12:20:00"/>
    <d v="1900-01-11T17:30:00"/>
    <n v="5.166666666666643"/>
    <n v="1"/>
    <s v="1Le resteTemara"/>
  </r>
  <r>
    <x v="0"/>
    <s v="TEM"/>
    <d v="2025-12-16T00:00:00"/>
    <x v="2"/>
    <s v="2025-M12"/>
    <n v="2025"/>
    <s v="Dahab"/>
    <s v="Normale"/>
    <s v="Fermeture ultrason"/>
    <s v="T4662-01"/>
    <x v="1"/>
    <s v="ABB"/>
    <n v="5005"/>
    <d v="1900-01-11T09:15:00"/>
    <d v="1900-01-11T10:15:00"/>
    <n v="1.0000000000000284"/>
    <n v="1"/>
    <s v="1ABBTemara"/>
  </r>
  <r>
    <x v="0"/>
    <s v="TEM"/>
    <d v="2025-12-18T00:00:00"/>
    <x v="2"/>
    <s v="2025-M12"/>
    <n v="2025"/>
    <s v="Anas"/>
    <s v="Normale"/>
    <s v="Test"/>
    <s v="T5008-19"/>
    <x v="2"/>
    <s v="Le reste"/>
    <s v="Tower"/>
    <d v="1900-01-11T09:00:00"/>
    <d v="1900-01-11T11:00:00"/>
    <n v="2.0000000000000142"/>
    <n v="1"/>
    <s v="1Le resteTemara"/>
  </r>
  <r>
    <x v="0"/>
    <s v="TEM"/>
    <d v="2025-12-19T00:00:00"/>
    <x v="2"/>
    <s v="2025-M12"/>
    <n v="2025"/>
    <s v="Dahab"/>
    <s v="Normale"/>
    <s v="Test"/>
    <s v="PO70032"/>
    <x v="1"/>
    <s v="ABB"/>
    <n v="5018"/>
    <d v="1900-01-11T10:05:00"/>
    <d v="1900-01-11T16:00:00"/>
    <n v="5.916666666666643"/>
    <n v="1"/>
    <s v="1ABBTemara"/>
  </r>
  <r>
    <x v="0"/>
    <s v="TEM"/>
    <d v="2025-12-22T00:00:00"/>
    <x v="3"/>
    <s v="2025-M12"/>
    <n v="2025"/>
    <s v="Dahab"/>
    <s v="Normale"/>
    <s v="Fermeture ultrason"/>
    <s v="T4662-01"/>
    <x v="1"/>
    <s v="ABB"/>
    <n v="5036"/>
    <d v="1900-01-11T15:10:00"/>
    <d v="1900-01-11T15:43:00"/>
    <n v="0.55000000000001137"/>
    <n v="1"/>
    <s v="1ABBTemara"/>
  </r>
  <r>
    <x v="0"/>
    <s v="TEM"/>
    <d v="2025-12-22T00:00:00"/>
    <x v="3"/>
    <s v="2025-M12"/>
    <n v="2025"/>
    <s v="Dahab"/>
    <s v="Normale"/>
    <s v="Tampographie"/>
    <s v="T4680-01"/>
    <x v="1"/>
    <s v="ABB"/>
    <n v="5040"/>
    <d v="1900-01-11T14:10:00"/>
    <d v="1900-01-11T15:40:00"/>
    <n v="1.5"/>
    <n v="1"/>
    <s v="1ABBTemara"/>
  </r>
  <r>
    <x v="0"/>
    <s v="TEM"/>
    <d v="2025-12-22T00:00:00"/>
    <x v="3"/>
    <s v="2025-M12"/>
    <n v="2025"/>
    <s v="Dahab"/>
    <s v="Normale"/>
    <s v="Test"/>
    <s v="PO70032"/>
    <x v="1"/>
    <s v="ABB"/>
    <n v="5058"/>
    <d v="1900-01-11T09:00:00"/>
    <d v="1900-01-11T18:00:00"/>
    <n v="9"/>
    <n v="1"/>
    <s v="1ABBTemara"/>
  </r>
  <r>
    <x v="0"/>
    <s v="TEM"/>
    <d v="2025-12-23T00:00:00"/>
    <x v="3"/>
    <s v="2025-M12"/>
    <n v="2025"/>
    <s v="Dahab"/>
    <s v="Normale"/>
    <s v="Test"/>
    <s v="PO70032"/>
    <x v="1"/>
    <s v="ABB"/>
    <n v="5012"/>
    <d v="1900-01-11T09:00:00"/>
    <d v="1900-01-11T18:00:00"/>
    <n v="9"/>
    <n v="1"/>
    <s v="1ABBTemara"/>
  </r>
  <r>
    <x v="0"/>
    <s v="TEM"/>
    <d v="2025-12-23T00:00:00"/>
    <x v="3"/>
    <s v="2025-M12"/>
    <n v="2025"/>
    <s v="Dahab"/>
    <s v="Normale"/>
    <s v="Tampographie"/>
    <s v="T4680-01"/>
    <x v="1"/>
    <s v="ABB"/>
    <n v="5075"/>
    <d v="1900-01-11T08:30:00"/>
    <d v="1900-01-11T12:30:00"/>
    <n v="4.0000000000000284"/>
    <n v="1"/>
    <s v="1ABBTemara"/>
  </r>
  <r>
    <x v="1"/>
    <s v="Bât B"/>
    <d v="2025-12-23T00:00:00"/>
    <x v="3"/>
    <s v="2025-M12"/>
    <n v="2025"/>
    <s v="Oumaima"/>
    <s v="Matin"/>
    <s v="Intégration "/>
    <s v="Intégration 1"/>
    <x v="3"/>
    <s v="EDMI"/>
    <s v="EDMES030CAD-00"/>
    <d v="1899-12-30T12:50:00"/>
    <d v="1899-12-30T14:00:00"/>
    <n v="1.1666666666666679"/>
    <n v="3"/>
    <s v="3EDMIBerrechid"/>
  </r>
  <r>
    <x v="1"/>
    <s v="Bât B"/>
    <d v="2025-12-24T00:00:00"/>
    <x v="3"/>
    <s v="2025-M12"/>
    <n v="2025"/>
    <s v="Oumaima"/>
    <s v="Matin"/>
    <s v="Intégration "/>
    <s v="Intégration "/>
    <x v="3"/>
    <s v="EDMI"/>
    <s v="EDMES030CAD-00"/>
    <d v="1899-12-30T06:00:00"/>
    <d v="1899-12-30T06:30:00"/>
    <n v="0.49999999999999956"/>
    <n v="3"/>
    <s v="3EDMIBerrechid"/>
  </r>
  <r>
    <x v="1"/>
    <s v="Bât B"/>
    <d v="2025-12-24T00:00:00"/>
    <x v="3"/>
    <s v="2025-M12"/>
    <n v="2025"/>
    <s v="Oumaima"/>
    <s v="Matin"/>
    <s v="Intégration "/>
    <s v="Intégration 1"/>
    <x v="3"/>
    <s v="EDMI"/>
    <s v="EDMES030CAD-00"/>
    <d v="1899-12-30T08:00:00"/>
    <d v="1899-12-30T09:00:00"/>
    <n v="1.0000000000000004"/>
    <n v="3"/>
    <s v="3EDMIBerrechid"/>
  </r>
  <r>
    <x v="1"/>
    <s v="Bât B"/>
    <d v="2025-12-24T00:00:00"/>
    <x v="3"/>
    <s v="2025-M12"/>
    <n v="2025"/>
    <s v="Oumaima"/>
    <s v="Matin"/>
    <s v="Intégration "/>
    <s v="Dégrappage "/>
    <x v="3"/>
    <s v="EDMI"/>
    <s v="EDMES030CAD-00"/>
    <d v="1899-12-30T11:15:00"/>
    <d v="1899-12-30T11:35:00"/>
    <n v="0.33333333333333348"/>
    <n v="3"/>
    <s v="3EDMIBerrechid"/>
  </r>
  <r>
    <x v="1"/>
    <s v="Bât B"/>
    <d v="2025-12-24T00:00:00"/>
    <x v="3"/>
    <s v="2025-M12"/>
    <n v="2025"/>
    <s v="Oumaima"/>
    <s v="Matin"/>
    <s v="Test UFT "/>
    <s v="Test UFT "/>
    <x v="3"/>
    <s v="EDMI"/>
    <s v="EDMS010BXD-10-BRITIS:"/>
    <d v="1899-12-30T11:20:00"/>
    <d v="1899-12-30T12:00:00"/>
    <n v="0.66666666666666696"/>
    <n v="3"/>
    <s v="3EDMIBerrechid"/>
  </r>
  <r>
    <x v="1"/>
    <s v="Bât B"/>
    <d v="2025-12-24T00:00:00"/>
    <x v="3"/>
    <s v="2025-M12"/>
    <n v="2025"/>
    <s v="Tarik"/>
    <s v="APM"/>
    <s v="Test ICT"/>
    <s v="Testeur ICT"/>
    <x v="3"/>
    <s v="EDMI"/>
    <s v="EDMES030CAD-00"/>
    <d v="1899-12-30T20:45:00"/>
    <d v="1899-12-30T21:30:00"/>
    <n v="0.75"/>
    <n v="3"/>
    <s v="3EDMIBerrechid"/>
  </r>
  <r>
    <x v="1"/>
    <s v="Bât A"/>
    <d v="2025-12-24T00:00:00"/>
    <x v="3"/>
    <s v="2025-M12"/>
    <n v="2025"/>
    <s v="Ismail"/>
    <s v="APM"/>
    <s v="Test"/>
    <s v="TAKAYA-9400"/>
    <x v="4"/>
    <s v="EMS"/>
    <s v="EMS-156"/>
    <d v="1899-12-30T16:00:00"/>
    <d v="1899-12-30T16:30:00"/>
    <n v="0.50000000000000089"/>
    <n v="2"/>
    <s v="2EMSBerrechid"/>
  </r>
  <r>
    <x v="1"/>
    <s v="Bât A"/>
    <d v="2025-12-24T00:00:00"/>
    <x v="3"/>
    <s v="2025-M12"/>
    <n v="2025"/>
    <s v="Ismail"/>
    <s v="APM"/>
    <s v="Test"/>
    <s v="TAKAYA-9400"/>
    <x v="4"/>
    <s v="EMS"/>
    <s v="EMS-167"/>
    <d v="1899-12-30T20:00:00"/>
    <d v="1899-12-30T20:40:00"/>
    <n v="0.66666666666666696"/>
    <n v="2"/>
    <s v="2EMSBerrechid"/>
  </r>
  <r>
    <x v="1"/>
    <s v="Bât A"/>
    <d v="2025-12-25T00:00:00"/>
    <x v="3"/>
    <s v="2025-M12"/>
    <n v="2025"/>
    <s v="Ismail"/>
    <s v="Matin"/>
    <s v="Test"/>
    <s v="Test Fonctionnel "/>
    <x v="5"/>
    <s v="Le reste"/>
    <s v="MEMMERPF08040"/>
    <d v="1899-12-30T11:50:00"/>
    <d v="1899-12-30T18:00:00"/>
    <n v="6.1666666666666661"/>
    <n v="2"/>
    <s v="2Le resteBerrechid"/>
  </r>
  <r>
    <x v="1"/>
    <s v="Bât B"/>
    <d v="2025-12-26T00:00:00"/>
    <x v="3"/>
    <s v="2025-M12"/>
    <n v="2025"/>
    <s v="Oumaima"/>
    <s v="Matin"/>
    <s v="Intégration "/>
    <s v="Intégration "/>
    <x v="3"/>
    <s v="EDMI"/>
    <s v="EDMS010BXD-10-BRITIS:"/>
    <d v="1899-12-30T09:30:00"/>
    <d v="1899-12-30T11:00:00"/>
    <n v="1.5"/>
    <n v="3"/>
    <s v="3EDMIBerrechid"/>
  </r>
  <r>
    <x v="1"/>
    <s v="Bât A"/>
    <d v="2025-12-22T00:00:00"/>
    <x v="3"/>
    <s v="2025-M12"/>
    <n v="2025"/>
    <s v="Knidar"/>
    <s v="Nuit"/>
    <s v="CMS"/>
    <s v="LIGNE 2"/>
    <x v="3"/>
    <s v="EDMI"/>
    <s v="EDM830-010-107BRTISH"/>
    <s v="22H00"/>
    <s v="6h"/>
    <n v="0.6"/>
    <n v="3"/>
    <s v="3EDMIBerrechid"/>
  </r>
  <r>
    <x v="1"/>
    <s v="Bât A"/>
    <d v="2025-12-22T00:00:00"/>
    <x v="3"/>
    <s v="2025-M12"/>
    <n v="2025"/>
    <s v="Knidar"/>
    <s v="APM"/>
    <s v="CMS"/>
    <s v="LIGNE 2"/>
    <x v="3"/>
    <s v="EDMI"/>
    <s v="EDM830-010-107BRTISH"/>
    <s v="14H00"/>
    <s v="22H00"/>
    <n v="0.6"/>
    <n v="3"/>
    <s v="3EDMIBerrechid"/>
  </r>
  <r>
    <x v="1"/>
    <s v="Bât A"/>
    <d v="2025-12-23T00:00:00"/>
    <x v="3"/>
    <s v="2025-M12"/>
    <n v="2025"/>
    <s v="Knidar"/>
    <s v="Nuit"/>
    <s v="CMS"/>
    <s v="LIGNE 2"/>
    <x v="3"/>
    <s v="EDMI"/>
    <s v="EDM830-010-107BRTISH"/>
    <s v="22H00"/>
    <s v="6h"/>
    <n v="0.6"/>
    <n v="3"/>
    <s v="3EDMIBerrechid"/>
  </r>
  <r>
    <x v="1"/>
    <s v="Bât A"/>
    <d v="2025-12-23T00:00:00"/>
    <x v="3"/>
    <s v="2025-M12"/>
    <n v="2025"/>
    <s v="Knidar"/>
    <s v="Matin"/>
    <s v="CMS"/>
    <s v="LIGNE 2"/>
    <x v="3"/>
    <s v="EDMI"/>
    <s v="EDM830-010-107BRTISH"/>
    <s v="6h"/>
    <s v="14h00"/>
    <n v="0.4"/>
    <n v="3"/>
    <s v="3EDMIBerrechid"/>
  </r>
  <r>
    <x v="1"/>
    <s v="Bât A"/>
    <d v="2025-12-23T00:00:00"/>
    <x v="3"/>
    <s v="2025-M12"/>
    <n v="2025"/>
    <s v="Khadim"/>
    <s v="APM"/>
    <s v="CMS"/>
    <s v="LIGNE 2"/>
    <x v="3"/>
    <s v="EDMI"/>
    <s v="EDM830-010-107BRTISH"/>
    <s v="6H00"/>
    <s v="14h00"/>
    <n v="0.4"/>
    <n v="3"/>
    <s v="3EDMIBerrechid"/>
  </r>
  <r>
    <x v="1"/>
    <s v="Bât A"/>
    <d v="2025-12-23T00:00:00"/>
    <x v="3"/>
    <s v="2025-M12"/>
    <n v="2025"/>
    <s v="Knidar"/>
    <s v="Matin"/>
    <s v="CMS"/>
    <s v="LIGNE 2"/>
    <x v="3"/>
    <s v="EDMI"/>
    <s v="EDM830-010-107BRTISH"/>
    <s v="6h"/>
    <s v="14h00"/>
    <n v="0.4"/>
    <n v="3"/>
    <s v="3EDMIBerrechid"/>
  </r>
  <r>
    <x v="1"/>
    <s v="Bât A"/>
    <d v="2025-12-23T00:00:00"/>
    <x v="3"/>
    <s v="2025-M12"/>
    <n v="2025"/>
    <s v="Knidar"/>
    <s v="APM"/>
    <s v="CMS"/>
    <s v="LIGNE 2"/>
    <x v="3"/>
    <s v="EDMI"/>
    <s v="EDM830-010-107BRTISH"/>
    <s v="14H00"/>
    <s v="22H00"/>
    <n v="0.5"/>
    <n v="3"/>
    <s v="3EDMIBerrechid"/>
  </r>
  <r>
    <x v="1"/>
    <s v="Bât A"/>
    <d v="2025-12-24T00:00:00"/>
    <x v="3"/>
    <s v="2025-M12"/>
    <n v="2025"/>
    <s v="Knidar"/>
    <s v="Nuit"/>
    <s v="CMS"/>
    <s v="LIGNE 2"/>
    <x v="3"/>
    <s v="EDMI"/>
    <s v="EDM830-010-107BRTISH"/>
    <s v="22H00"/>
    <s v="6h"/>
    <n v="0.4"/>
    <n v="3"/>
    <s v="3EDMIBerrechid"/>
  </r>
  <r>
    <x v="1"/>
    <s v="Bât A"/>
    <d v="2025-12-24T00:00:00"/>
    <x v="3"/>
    <s v="2025-M12"/>
    <n v="2025"/>
    <s v="Knidar"/>
    <s v="Matin"/>
    <s v="CMS"/>
    <s v="LIGNE 2"/>
    <x v="3"/>
    <s v="EDMI"/>
    <s v="EDM830-010-107BRTISH"/>
    <s v="6h"/>
    <s v="14h00"/>
    <n v="0.4"/>
    <n v="3"/>
    <s v="3EDMIBerrechid"/>
  </r>
  <r>
    <x v="1"/>
    <s v="Bât A"/>
    <d v="2025-12-24T00:00:00"/>
    <x v="3"/>
    <s v="2025-M12"/>
    <n v="2025"/>
    <s v="Knidar"/>
    <s v="APM"/>
    <s v="CMS"/>
    <s v="LIGNE 2"/>
    <x v="3"/>
    <s v="EDMI"/>
    <s v="EDM830-010-107BRTISH"/>
    <s v="14H00"/>
    <s v="22H00"/>
    <n v="0.5"/>
    <n v="3"/>
    <s v="3EDMIBerrechid"/>
  </r>
  <r>
    <x v="1"/>
    <s v="Bât A"/>
    <d v="2025-12-24T00:00:00"/>
    <x v="3"/>
    <s v="2025-M12"/>
    <n v="2025"/>
    <s v="Knidar"/>
    <s v="APM"/>
    <s v="CMS"/>
    <s v="LIGNE 2"/>
    <x v="3"/>
    <s v="EDMI"/>
    <s v="EDM830-010-107BRTISH"/>
    <s v="14H00"/>
    <s v="22H00"/>
    <n v="1"/>
    <n v="3"/>
    <s v="3EDMIBerrechid"/>
  </r>
  <r>
    <x v="1"/>
    <s v="Bât A"/>
    <d v="2025-12-25T00:00:00"/>
    <x v="3"/>
    <s v="2025-M12"/>
    <n v="2025"/>
    <s v="Knidar"/>
    <s v="Nuit"/>
    <s v="CMS"/>
    <s v="LIGNE 2"/>
    <x v="3"/>
    <s v="EDMI"/>
    <s v="EDM830-010-107BRTISH"/>
    <s v="22H00"/>
    <s v="6h"/>
    <n v="0.4"/>
    <n v="3"/>
    <s v="3EDMIBerrechid"/>
  </r>
  <r>
    <x v="1"/>
    <s v="Bât A"/>
    <d v="2025-12-25T00:00:00"/>
    <x v="3"/>
    <s v="2025-M12"/>
    <n v="2025"/>
    <s v="Knidar"/>
    <s v="Nuit"/>
    <s v="CMS"/>
    <s v="LIGNE 2"/>
    <x v="3"/>
    <s v="EDMI"/>
    <s v="EDM830-010-107BRTISH"/>
    <s v="22H00"/>
    <s v="6h"/>
    <n v="1.7"/>
    <n v="3"/>
    <s v="3EDMIBerrechid"/>
  </r>
  <r>
    <x v="1"/>
    <s v="Bât A"/>
    <d v="2025-12-25T00:00:00"/>
    <x v="3"/>
    <s v="2025-M12"/>
    <n v="2025"/>
    <s v="Knidar"/>
    <s v="Nuit"/>
    <s v="CMS"/>
    <s v="LIGNE 2"/>
    <x v="3"/>
    <s v="EDMI"/>
    <s v="EDM830-010-107BRTISH"/>
    <s v="22H00"/>
    <s v="6h"/>
    <n v="0.6"/>
    <n v="3"/>
    <s v="3EDMIBerrechid"/>
  </r>
  <r>
    <x v="1"/>
    <s v="Bât A"/>
    <d v="2025-12-25T00:00:00"/>
    <x v="3"/>
    <s v="2025-M12"/>
    <n v="2025"/>
    <s v="Knidar"/>
    <s v="APM"/>
    <s v="CMS"/>
    <s v="LIGNE 2"/>
    <x v="3"/>
    <s v="EDMI"/>
    <s v="EDM830-010-107BRTISH"/>
    <s v="14H00"/>
    <s v="22H00"/>
    <n v="0.6"/>
    <n v="3"/>
    <s v="3EDMIBerrechid"/>
  </r>
  <r>
    <x v="1"/>
    <s v="Bât A"/>
    <d v="2025-12-26T00:00:00"/>
    <x v="3"/>
    <s v="2025-M12"/>
    <n v="2025"/>
    <s v="Knidar"/>
    <s v="Nuit"/>
    <s v="CMS"/>
    <s v="LIGNE 2"/>
    <x v="3"/>
    <s v="EDMI"/>
    <s v="EDM830-010-107BRTISH"/>
    <s v="14H00"/>
    <s v="22H00"/>
    <n v="8"/>
    <n v="3"/>
    <s v="3EDMIBerrechid"/>
  </r>
  <r>
    <x v="1"/>
    <s v="Bât A"/>
    <d v="2025-12-26T00:00:00"/>
    <x v="3"/>
    <s v="2025-M12"/>
    <n v="2025"/>
    <s v="Knidar"/>
    <s v="Matin"/>
    <s v="CMS"/>
    <s v="LIGNE 2"/>
    <x v="3"/>
    <s v="EDMI"/>
    <s v="EDM830-010-107BRTISH"/>
    <s v="14H00"/>
    <s v="22H00"/>
    <n v="8"/>
    <n v="3"/>
    <s v="3EDMIBerrechid"/>
  </r>
  <r>
    <x v="1"/>
    <s v="Bât A"/>
    <d v="2025-12-26T00:00:00"/>
    <x v="3"/>
    <s v="2025-M12"/>
    <n v="2025"/>
    <s v="Knidar"/>
    <s v="APM"/>
    <s v="CMS"/>
    <s v="LIGNE 3"/>
    <x v="3"/>
    <s v="EDMI"/>
    <s v="EDM830-010-107BRTISH"/>
    <d v="1899-12-30T14:00:00"/>
    <d v="1899-12-30T22:00:00"/>
    <n v="7.9999999999999982"/>
    <n v="3"/>
    <s v="3EDMIBerrechid"/>
  </r>
  <r>
    <x v="1"/>
    <s v="Bât B"/>
    <d v="2025-12-27T00:00:00"/>
    <x v="3"/>
    <s v="2025-M12"/>
    <n v="2025"/>
    <s v="Tarik"/>
    <s v="APM"/>
    <s v="Poste Laser "/>
    <s v="Poste Laser "/>
    <x v="3"/>
    <s v="EDMI"/>
    <s v="EDMES010BAU10"/>
    <d v="1899-12-30T21:00:00"/>
    <d v="1899-12-30T21:25:00"/>
    <n v="0.41"/>
    <n v="3"/>
    <s v="3EDMIBerrechid"/>
  </r>
  <r>
    <x v="1"/>
    <s v="Bât B"/>
    <d v="2025-12-27T00:00:00"/>
    <x v="3"/>
    <s v="2025-M12"/>
    <n v="2025"/>
    <s v="Salah"/>
    <s v="Nuit"/>
    <s v="Intégration "/>
    <s v="Intégration "/>
    <x v="3"/>
    <s v="EDMI"/>
    <s v="EDMS010BXD-10-BRITIS:"/>
    <d v="1899-12-30T20:30:00"/>
    <d v="1899-12-30T06:00:00"/>
    <n v="0.5"/>
    <n v="3"/>
    <s v="3EDMIBerrechid"/>
  </r>
  <r>
    <x v="1"/>
    <s v="Bât B"/>
    <d v="2025-12-27T00:00:00"/>
    <x v="3"/>
    <s v="2025-M12"/>
    <n v="2025"/>
    <s v="Oumaima"/>
    <s v="Matin"/>
    <s v="Intégration "/>
    <s v="Intégration "/>
    <x v="3"/>
    <s v="EDMI"/>
    <s v="EDMS010BXD-10-BRITIS:"/>
    <d v="1899-12-30T06:00:00"/>
    <d v="1899-12-30T13:25:00"/>
    <n v="0.5"/>
    <n v="3"/>
    <s v="3EDMIBerrechid"/>
  </r>
  <r>
    <x v="1"/>
    <s v="Bât B"/>
    <d v="2025-12-27T00:00:00"/>
    <x v="3"/>
    <s v="2025-M12"/>
    <n v="2025"/>
    <s v="Oumaima"/>
    <s v="Matin"/>
    <s v="Finition"/>
    <s v="Finition"/>
    <x v="3"/>
    <s v="EDMI"/>
    <s v="EDM830-010-107BRTIS:"/>
    <d v="1899-12-30T09:00:00"/>
    <d v="1899-12-30T11:45:00"/>
    <n v="2.4500000000000002"/>
    <n v="3"/>
    <s v="3EDMIBerrechid"/>
  </r>
  <r>
    <x v="1"/>
    <s v="Bât A"/>
    <d v="2025-12-26T00:00:00"/>
    <x v="3"/>
    <s v="2025-M12"/>
    <n v="2025"/>
    <s v="Knidar"/>
    <s v="APM"/>
    <s v="CMS"/>
    <s v="LIGNE 2"/>
    <x v="3"/>
    <s v="EDMI"/>
    <s v="EDM830-013-152"/>
    <d v="1899-12-30T06:00:00"/>
    <d v="1899-12-31T00:30:00"/>
    <n v="18.5"/>
    <n v="3"/>
    <s v="3EDMIBerrechid"/>
  </r>
  <r>
    <x v="1"/>
    <s v="Bât A"/>
    <d v="2025-12-27T00:00:00"/>
    <x v="3"/>
    <s v="2025-M12"/>
    <n v="2025"/>
    <s v="Knidar"/>
    <s v="Matin"/>
    <s v="CMS"/>
    <s v="LIGNE 2"/>
    <x v="3"/>
    <s v="EDMI"/>
    <s v="EDM830-013-152"/>
    <d v="1899-12-30T08:00:00"/>
    <d v="1899-12-30T13:45:00"/>
    <n v="5.75"/>
    <n v="3"/>
    <s v="3EDMIBerrechid"/>
  </r>
  <r>
    <x v="1"/>
    <s v="Bât A"/>
    <d v="2025-12-28T00:00:00"/>
    <x v="4"/>
    <s v="2025-M12"/>
    <n v="2025"/>
    <s v="Knidar"/>
    <s v="Matin"/>
    <s v="CMS"/>
    <s v="LIGNE 2"/>
    <x v="3"/>
    <s v="EDMI"/>
    <s v="EDM830-013-152"/>
    <d v="1899-12-30T10:00:00"/>
    <d v="1899-12-30T13:35:00"/>
    <n v="3.5833333333333326"/>
    <n v="3"/>
    <s v="3EDMIBerrechid"/>
  </r>
  <r>
    <x v="1"/>
    <s v="Bât A"/>
    <d v="2025-12-28T00:00:00"/>
    <x v="4"/>
    <s v="2025-M12"/>
    <n v="2025"/>
    <s v="Latifa"/>
    <s v="Matin"/>
    <s v="Zone EMS"/>
    <s v="Finition EMS"/>
    <x v="4"/>
    <s v="EMS"/>
    <s v="EMSEL-628"/>
    <d v="1899-12-30T12:20:00"/>
    <d v="1899-12-30T13:00:00"/>
    <n v="0.66666666666666696"/>
    <n v="2"/>
    <s v="2EMSBerrechid"/>
  </r>
  <r>
    <x v="1"/>
    <s v="Bât A"/>
    <d v="2025-12-29T00:00:00"/>
    <x v="4"/>
    <s v="2025-M12"/>
    <n v="2025"/>
    <s v="Knidar"/>
    <s v="Matin"/>
    <s v="CMS"/>
    <s v="LIGNE 2"/>
    <x v="3"/>
    <s v="EDMI"/>
    <s v="EDM830-013-152"/>
    <d v="1899-12-30T12:25:00"/>
    <d v="1899-12-30T13:25:00"/>
    <n v="0.99999999999999911"/>
    <n v="3"/>
    <s v="3EDMIBerrechid"/>
  </r>
  <r>
    <x v="1"/>
    <s v="Bât A"/>
    <d v="2025-12-29T00:00:00"/>
    <x v="4"/>
    <s v="2025-M12"/>
    <n v="2025"/>
    <s v="ELMIR"/>
    <s v="Matin"/>
    <s v="traverssant"/>
    <s v="vague"/>
    <x v="3"/>
    <s v="EDMI"/>
    <s v="EDM830-013-152"/>
    <d v="1899-12-30T12:25:00"/>
    <d v="1899-12-30T12:55:00"/>
    <n v="0.49999999999999822"/>
    <n v="3"/>
    <s v="3EDMIBerrechid"/>
  </r>
  <r>
    <x v="1"/>
    <s v="Bât A"/>
    <d v="2025-12-29T00:00:00"/>
    <x v="4"/>
    <s v="2025-M12"/>
    <n v="2025"/>
    <s v="Ismail"/>
    <s v="Matin"/>
    <s v="Test Takaya"/>
    <s v="TAKAYA-9400"/>
    <x v="6"/>
    <s v="Le reste"/>
    <s v="GRE6159188870-R"/>
    <d v="1899-12-30T12:30:00"/>
    <d v="1899-12-30T13:00:00"/>
    <n v="0.49999999999999822"/>
    <n v="2"/>
    <s v="2Le resteBerrechid"/>
  </r>
  <r>
    <x v="1"/>
    <s v="Bât A"/>
    <d v="2025-12-29T00:00:00"/>
    <x v="4"/>
    <s v="2025-M12"/>
    <n v="2025"/>
    <s v="Ismail"/>
    <s v="Matin"/>
    <s v="Test Takaya"/>
    <s v="Takaya-9411"/>
    <x v="6"/>
    <s v="Le reste"/>
    <s v="CEGRE6159197042-R"/>
    <d v="1899-12-30T12:30:00"/>
    <d v="1899-12-30T13:00:00"/>
    <n v="0.49999999999999822"/>
    <n v="2"/>
    <s v="2Le resteBerrechid"/>
  </r>
  <r>
    <x v="1"/>
    <s v="Bât B"/>
    <d v="2025-12-30T00:00:00"/>
    <x v="4"/>
    <s v="2025-M12"/>
    <n v="2025"/>
    <s v="Tarik"/>
    <s v="Matin"/>
    <s v="Finition"/>
    <s v="Finition"/>
    <x v="3"/>
    <s v="EDMI"/>
    <s v="EDM830-013-152"/>
    <d v="1899-12-30T08:30:00"/>
    <d v="1899-12-30T09:40:00"/>
    <n v="1.1599999999999999"/>
    <n v="3"/>
    <s v="3EDMIBerrechid"/>
  </r>
  <r>
    <x v="1"/>
    <s v="Bât B"/>
    <d v="2025-12-30T00:00:00"/>
    <x v="4"/>
    <s v="2025-M12"/>
    <n v="2025"/>
    <s v="Tarik"/>
    <s v="Matin"/>
    <s v="Test ICT"/>
    <s v="Testeur ICT"/>
    <x v="3"/>
    <s v="EDMI"/>
    <s v="EDM830-013-152"/>
    <d v="1899-12-30T08:10:00"/>
    <d v="1899-12-30T10:30:00"/>
    <n v="2.33"/>
    <n v="3"/>
    <s v="3EDMIBerrechid"/>
  </r>
  <r>
    <x v="1"/>
    <s v="Bât B"/>
    <d v="2025-12-30T00:00:00"/>
    <x v="4"/>
    <s v="2025-M12"/>
    <n v="2025"/>
    <s v="Tarik"/>
    <s v="Matin"/>
    <s v="Test ICT"/>
    <s v="Testeur ICT"/>
    <x v="3"/>
    <s v="EDMI"/>
    <s v="EDM830-013-152"/>
    <d v="1899-12-30T11:00:00"/>
    <d v="1899-12-30T12:20:00"/>
    <n v="1.33"/>
    <n v="3"/>
    <s v="3EDMIBerrechid"/>
  </r>
  <r>
    <x v="1"/>
    <s v="Bât B"/>
    <d v="2025-12-30T00:00:00"/>
    <x v="4"/>
    <s v="2025-M12"/>
    <n v="2025"/>
    <s v="Tarik"/>
    <s v="Matin"/>
    <s v="Test ICT"/>
    <s v="Testeur ICT"/>
    <x v="3"/>
    <s v="EDMI"/>
    <s v="EDM830-013-152"/>
    <d v="1899-12-30T12:40:00"/>
    <d v="1899-12-30T13:20:00"/>
    <n v="0.66"/>
    <n v="3"/>
    <s v="3EDMIBerrechid"/>
  </r>
  <r>
    <x v="1"/>
    <s v="Bât B"/>
    <d v="2025-12-30T00:00:00"/>
    <x v="4"/>
    <s v="2025-M12"/>
    <n v="2025"/>
    <s v="Tarik"/>
    <s v="Matin"/>
    <s v="Test :i-pot"/>
    <s v="Test :i-pot"/>
    <x v="3"/>
    <s v="EDMI"/>
    <s v="EDM830-013-152"/>
    <d v="1899-12-30T13:15:00"/>
    <d v="1899-12-30T14:25:00"/>
    <n v="1.1599999999999999"/>
    <n v="3"/>
    <s v="3EDMIBerrechid"/>
  </r>
  <r>
    <x v="1"/>
    <s v="Bât B"/>
    <d v="2025-12-30T00:00:00"/>
    <x v="4"/>
    <s v="2025-M12"/>
    <n v="2025"/>
    <s v="Salah"/>
    <s v="APM"/>
    <s v="Dégrappage"/>
    <s v="Dégrappage"/>
    <x v="3"/>
    <s v="EDMI"/>
    <s v="EDM830-013-152"/>
    <d v="1899-12-30T15:50:00"/>
    <d v="1899-12-30T16:26:00"/>
    <n v="1.1599999999999999"/>
    <n v="3"/>
    <s v="3EDMIBerrechid"/>
  </r>
  <r>
    <x v="1"/>
    <s v="Bât B"/>
    <d v="2025-12-30T00:00:00"/>
    <x v="4"/>
    <s v="2025-M12"/>
    <n v="2025"/>
    <s v="Salah"/>
    <s v="APM"/>
    <s v=" Test BFT"/>
    <s v="Testeur BFT"/>
    <x v="3"/>
    <s v="EDMI"/>
    <s v="EDM830-013-152"/>
    <d v="1899-12-30T15:50:00"/>
    <d v="1899-12-30T16:00:00"/>
    <n v="1.1599999999999999"/>
    <n v="3"/>
    <s v="3EDMIBerrechid"/>
  </r>
  <r>
    <x v="1"/>
    <s v="Bât B"/>
    <d v="2025-12-30T00:00:00"/>
    <x v="4"/>
    <s v="2025-M12"/>
    <n v="2025"/>
    <s v="Salah"/>
    <s v="APM"/>
    <s v="Test ICT"/>
    <s v="Testeur ICT"/>
    <x v="3"/>
    <s v="EDMI"/>
    <s v="EDM830-013-152"/>
    <d v="1899-12-30T14:00:00"/>
    <d v="1899-12-30T17:30:00"/>
    <n v="1.1599999999999999"/>
    <n v="3"/>
    <s v="3EDMIBerrechid"/>
  </r>
  <r>
    <x v="1"/>
    <s v="Bât B"/>
    <d v="2025-12-31T00:00:00"/>
    <x v="4"/>
    <s v="2025-M12"/>
    <n v="2025"/>
    <s v="Oumaima"/>
    <s v="Nuit"/>
    <s v=" Test BFT"/>
    <s v="Testeur BFT"/>
    <x v="3"/>
    <s v="EDMI"/>
    <s v="EDM830-013-152"/>
    <d v="1899-12-30T02:00:00"/>
    <d v="1899-12-30T06:00:00"/>
    <n v="1.1599999999999999"/>
    <n v="3"/>
    <s v="3EDMIBerrechid"/>
  </r>
  <r>
    <x v="1"/>
    <s v="Bât A"/>
    <d v="2025-12-30T00:00:00"/>
    <x v="4"/>
    <s v="2025-M12"/>
    <n v="2025"/>
    <s v="Knidar"/>
    <s v="Nuit"/>
    <s v="CMS"/>
    <s v="LIGNE 2"/>
    <x v="3"/>
    <s v="EDMI"/>
    <s v="EDM830-010-107BRTISH"/>
    <d v="1899-12-30T22:00:00"/>
    <d v="1899-12-30T01:55:00"/>
    <n v="3.9"/>
    <n v="3"/>
    <s v="3EDMIBerrechid"/>
  </r>
  <r>
    <x v="1"/>
    <s v="Bât A"/>
    <d v="2025-12-30T00:00:00"/>
    <x v="4"/>
    <s v="2025-M12"/>
    <n v="2025"/>
    <s v="Knidar"/>
    <s v="Matin"/>
    <s v="CMS"/>
    <s v="LIGNE 2"/>
    <x v="3"/>
    <s v="EDMI"/>
    <s v="EDM830-010-107BRTISH"/>
    <d v="1899-12-30T06:00:00"/>
    <d v="1899-12-30T08:20:00"/>
    <n v="2.333333333333333"/>
    <n v="3"/>
    <s v="3EDMIBerrechid"/>
  </r>
  <r>
    <x v="1"/>
    <s v="Bât A"/>
    <d v="2025-12-30T00:00:00"/>
    <x v="4"/>
    <s v="2025-M12"/>
    <n v="2025"/>
    <s v="Knidar"/>
    <s v="APM"/>
    <s v="CMS"/>
    <s v="LIGNE 2"/>
    <x v="3"/>
    <s v="EDMI"/>
    <s v="EDM830-010-107BRTISH"/>
    <d v="1899-12-30T14:00:00"/>
    <d v="1899-12-30T14:25:00"/>
    <n v="0.41666666666666519"/>
    <n v="3"/>
    <s v="3EDMIBerrechid"/>
  </r>
  <r>
    <x v="1"/>
    <s v="Bât A"/>
    <d v="2025-12-31T00:00:00"/>
    <x v="4"/>
    <s v="2025-M12"/>
    <n v="2025"/>
    <s v="Knidar"/>
    <s v="Nuit"/>
    <s v="CMS"/>
    <s v="LIGNE 2"/>
    <x v="3"/>
    <s v="EDMI"/>
    <s v="EDM830-010-107BRTISH"/>
    <d v="1899-12-30T22:00:00"/>
    <d v="1899-12-30T23:05:00"/>
    <n v="1.0833333333333348"/>
    <n v="3"/>
    <s v="3EDMIBerrechid"/>
  </r>
  <r>
    <x v="1"/>
    <s v="Bât A"/>
    <d v="2025-12-31T00:00:00"/>
    <x v="4"/>
    <s v="2025-M12"/>
    <n v="2025"/>
    <s v="Khadim"/>
    <s v="Matin"/>
    <s v="CMS"/>
    <s v="LIGNE 1"/>
    <x v="7"/>
    <s v="Le reste"/>
    <s v="SERRL5B"/>
    <d v="1899-12-30T06:00:00"/>
    <d v="1899-12-30T08:00:00"/>
    <n v="1.9999999999999996"/>
    <n v="2"/>
    <s v="2Le resteBerrechid"/>
  </r>
  <r>
    <x v="1"/>
    <s v="Bât A"/>
    <d v="2025-12-31T00:00:00"/>
    <x v="4"/>
    <s v="2025-M12"/>
    <n v="2025"/>
    <s v="Knidar"/>
    <s v="Matin"/>
    <s v="CMS"/>
    <s v="LIGNE 2"/>
    <x v="3"/>
    <s v="EDMI"/>
    <s v="EDM830-010-107BRTISH"/>
    <d v="1899-12-30T06:00:00"/>
    <d v="1899-12-30T07:15:00"/>
    <n v="1.2499999999999996"/>
    <n v="3"/>
    <s v="3EDMIBerrechid"/>
  </r>
  <r>
    <x v="1"/>
    <s v="Bât B"/>
    <d v="2025-12-31T00:00:00"/>
    <x v="4"/>
    <s v="2025-M12"/>
    <n v="2025"/>
    <s v="Tarik"/>
    <s v="Matin"/>
    <s v="finition "/>
    <s v="finition 1/2"/>
    <x v="3"/>
    <s v="EDMI"/>
    <s v="EDM830-013-152"/>
    <d v="1899-12-30T08:35:00"/>
    <d v="1899-12-30T10:20:00"/>
    <n v="1.7500000000000004"/>
    <n v="3"/>
    <s v="3EDMIBerrechid"/>
  </r>
  <r>
    <x v="1"/>
    <s v="Bât B"/>
    <d v="2025-12-31T00:00:00"/>
    <x v="4"/>
    <s v="2025-M12"/>
    <n v="2025"/>
    <s v="Tarik"/>
    <s v="Matin"/>
    <s v="Testeur BFT"/>
    <s v="Testeur BFT"/>
    <x v="3"/>
    <s v="EDMI"/>
    <s v="EDM830-013-152"/>
    <d v="1899-12-30T06:00:00"/>
    <d v="1899-12-30T08:15:00"/>
    <n v="2.25"/>
    <n v="3"/>
    <s v="3EDMIBerrechid"/>
  </r>
  <r>
    <x v="1"/>
    <s v="Bât B"/>
    <d v="2025-12-31T00:00:00"/>
    <x v="4"/>
    <s v="2025-M12"/>
    <n v="2025"/>
    <s v="Tarik"/>
    <s v="Matin"/>
    <s v="integration"/>
    <s v="integration"/>
    <x v="3"/>
    <s v="EDMI"/>
    <s v="EDMES012BAD-02"/>
    <d v="1899-12-30T06:00:00"/>
    <d v="1899-12-30T08:30:00"/>
    <n v="2.5000000000000004"/>
    <n v="3"/>
    <s v="3EDMIBerrechid"/>
  </r>
  <r>
    <x v="1"/>
    <s v="Bât A"/>
    <d v="2025-12-31T00:00:00"/>
    <x v="4"/>
    <s v="2025-M12"/>
    <n v="2025"/>
    <s v="Ismail"/>
    <s v="Matin"/>
    <s v="Test Takaya"/>
    <s v="Takaya-9411"/>
    <x v="4"/>
    <s v="EMS"/>
    <s v="EMSEJ-244"/>
    <d v="1899-12-30T08:30:00"/>
    <d v="1899-12-30T10:00:00"/>
    <n v="1.5"/>
    <n v="2"/>
    <s v="2EMSBerrechid"/>
  </r>
  <r>
    <x v="1"/>
    <s v="Bât B"/>
    <d v="2025-12-31T00:00:00"/>
    <x v="4"/>
    <s v="2025-M12"/>
    <n v="2025"/>
    <s v="Tarik"/>
    <s v="Matin"/>
    <s v="Test ICT"/>
    <s v="Testeur ICT"/>
    <x v="3"/>
    <s v="EDMI"/>
    <s v="EDM830-013-152"/>
    <d v="1899-12-30T09:20:00"/>
    <d v="1899-12-30T11:00:00"/>
    <n v="1.6666666666666661"/>
    <n v="3"/>
    <s v="3EDMIBerrechid"/>
  </r>
  <r>
    <x v="1"/>
    <s v="Bât A"/>
    <d v="2025-12-31T00:00:00"/>
    <x v="4"/>
    <s v="2025-M12"/>
    <n v="2025"/>
    <s v="Knidar"/>
    <s v="APM"/>
    <s v="CMS"/>
    <s v="LIGNE 2"/>
    <x v="3"/>
    <s v="EDMI"/>
    <s v="EDM830-010-107BRTISH"/>
    <d v="1899-12-30T14:00:00"/>
    <d v="1899-12-30T15:15:00"/>
    <n v="1.2499999999999982"/>
    <n v="3"/>
    <s v="3EDMIBerrechid"/>
  </r>
  <r>
    <x v="1"/>
    <s v="Bât B"/>
    <d v="2026-01-01T00:00:00"/>
    <x v="5"/>
    <s v="2026-M01"/>
    <n v="2026"/>
    <s v="Oumaima"/>
    <s v="Nuit"/>
    <s v=" Test BFT"/>
    <s v="Testeur BFT"/>
    <x v="3"/>
    <s v="EDMI"/>
    <s v="EDM830-013-152"/>
    <d v="1899-12-30T03:30:00"/>
    <d v="1899-12-30T06:00:00"/>
    <n v="2.5"/>
    <n v="3"/>
    <s v="3EDMIBerrechid"/>
  </r>
  <r>
    <x v="1"/>
    <s v="Bât B"/>
    <d v="2026-01-01T00:00:00"/>
    <x v="5"/>
    <s v="2026-M01"/>
    <n v="2026"/>
    <s v="Oumaima"/>
    <s v="Nuit"/>
    <s v="Test Config"/>
    <s v="Test Config"/>
    <x v="3"/>
    <s v="EDMI"/>
    <s v="EDMES012BAR00"/>
    <d v="1899-12-30T02:00:00"/>
    <d v="1899-12-30T05:00:00"/>
    <n v="3"/>
    <n v="3"/>
    <s v="3EDMIBerrechid"/>
  </r>
  <r>
    <x v="1"/>
    <s v="Bât B"/>
    <d v="2026-01-01T00:00:00"/>
    <x v="5"/>
    <s v="2026-M01"/>
    <n v="2026"/>
    <s v="Tarik"/>
    <s v="Matin"/>
    <s v=" Test BFT"/>
    <s v="Testeur BFT/integration"/>
    <x v="3"/>
    <s v="EDMI"/>
    <s v="EDM830-013-152"/>
    <d v="1899-12-30T06:00:00"/>
    <d v="1899-12-30T08:10:00"/>
    <n v="2.166666666666667"/>
    <n v="3"/>
    <s v="3EDMIBerrechid"/>
  </r>
  <r>
    <x v="1"/>
    <s v="Bât B"/>
    <d v="2026-01-01T00:00:00"/>
    <x v="5"/>
    <s v="2026-M01"/>
    <n v="2026"/>
    <s v="Tarik"/>
    <s v="Matin"/>
    <s v=" Test BFT"/>
    <s v="laser/config/emballage"/>
    <x v="3"/>
    <s v="EDMI"/>
    <s v="EDMES012BAR00"/>
    <d v="1899-12-30T06:00:00"/>
    <d v="1899-12-30T09:16:00"/>
    <n v="3.2666666666666671"/>
    <n v="3"/>
    <s v="3EDMIBerrechid"/>
  </r>
  <r>
    <x v="1"/>
    <s v="Bât B"/>
    <d v="2026-01-01T00:00:00"/>
    <x v="5"/>
    <s v="2026-M01"/>
    <n v="2026"/>
    <s v="Oumaima"/>
    <s v="Nuit"/>
    <s v="Test Config"/>
    <s v="Test Config"/>
    <x v="3"/>
    <s v="EDMI"/>
    <s v="EDMES012BAR00"/>
    <d v="1899-12-30T11:00:00"/>
    <d v="1899-12-30T01:30:00"/>
    <n v="2.5"/>
    <n v="3"/>
    <s v="3EDMIBerrechid"/>
  </r>
  <r>
    <x v="1"/>
    <s v="Bât B"/>
    <d v="2026-01-02T00:00:00"/>
    <x v="5"/>
    <s v="2026-M01"/>
    <n v="2026"/>
    <s v="Tarik"/>
    <s v="Matin"/>
    <s v="Test Config"/>
    <s v="Test Config"/>
    <x v="3"/>
    <s v="EDMI"/>
    <s v="EDMES012BAR01"/>
    <d v="1899-12-30T06:00:00"/>
    <d v="1899-12-30T06:20:00"/>
    <n v="0.33333333333333348"/>
    <n v="3"/>
    <s v="3EDMIBerrechid"/>
  </r>
  <r>
    <x v="1"/>
    <s v="Bât B"/>
    <d v="2026-01-02T00:00:00"/>
    <x v="5"/>
    <s v="2026-M01"/>
    <n v="2026"/>
    <s v="Tarik"/>
    <s v="Matin"/>
    <s v=" Test BFT"/>
    <s v="integration/calibration"/>
    <x v="3"/>
    <s v="EDMI"/>
    <s v="EDMES012BAD-02"/>
    <d v="1899-12-30T08:30:00"/>
    <d v="1899-12-30T10:50:00"/>
    <n v="2.333333333333333"/>
    <n v="3"/>
    <s v="3EDMIBerrechid"/>
  </r>
  <r>
    <x v="1"/>
    <s v="Bât B"/>
    <d v="2026-01-02T00:00:00"/>
    <x v="5"/>
    <s v="2026-M01"/>
    <n v="2026"/>
    <s v="Oumaima"/>
    <s v="APM"/>
    <s v=" Test BFT"/>
    <s v="integration/calibration"/>
    <x v="3"/>
    <s v="EDMI"/>
    <s v="EDMES012BAD-02"/>
    <d v="1899-12-30T15:10:00"/>
    <d v="1899-12-30T15:46:00"/>
    <n v="0.60000000000000053"/>
    <n v="3"/>
    <s v="3EDMIBerrechid"/>
  </r>
  <r>
    <x v="1"/>
    <s v="Bât B"/>
    <d v="2026-01-02T00:00:00"/>
    <x v="5"/>
    <s v="2026-M01"/>
    <n v="2026"/>
    <s v="Tarik"/>
    <s v="APM"/>
    <s v="Test UFT "/>
    <s v="UFT/:i-pot/calibration"/>
    <x v="3"/>
    <s v="EDMI"/>
    <s v="EDMES012BAD-02"/>
    <d v="1899-12-30T18:50:00"/>
    <d v="1899-12-30T19:30:00"/>
    <n v="0.66666666666666696"/>
    <n v="3"/>
    <s v="3EDMIBerrechid"/>
  </r>
  <r>
    <x v="1"/>
    <s v="Bât A"/>
    <d v="2026-01-04T00:00:00"/>
    <x v="6"/>
    <s v="2026-M01"/>
    <n v="2026"/>
    <s v="Knidar"/>
    <s v="Nuit"/>
    <s v="CMS"/>
    <s v="LIGNE 2"/>
    <x v="3"/>
    <s v="EDMI"/>
    <s v="EDM830-010-107BRTISH"/>
    <d v="1899-12-30T22:00:00"/>
    <d v="1899-12-30T22:30:00"/>
    <n v="0.50000000000000089"/>
    <n v="3"/>
    <s v="3EDMIBerrechid"/>
  </r>
  <r>
    <x v="1"/>
    <s v="Bât B"/>
    <d v="2026-01-05T00:00:00"/>
    <x v="6"/>
    <s v="2026-M01"/>
    <n v="2026"/>
    <s v="Tarik"/>
    <s v="Nuit"/>
    <s v="Test ICT"/>
    <s v="Testeur ICT"/>
    <x v="3"/>
    <s v="EDMI"/>
    <s v="EDM830-010-107BRTIS:"/>
    <d v="1899-12-30T22:00:00"/>
    <d v="1899-12-30T06:00:00"/>
    <n v="8"/>
    <n v="3"/>
    <s v="3EDMIBerrechid"/>
  </r>
  <r>
    <x v="1"/>
    <s v="Bât B"/>
    <d v="2026-01-05T00:00:00"/>
    <x v="6"/>
    <s v="2026-M01"/>
    <n v="2026"/>
    <s v="Salah"/>
    <s v="Matin"/>
    <s v=" Test BFT"/>
    <s v="Testeur BFT/DISPLAY 2"/>
    <x v="3"/>
    <s v="EDMI"/>
    <s v="EDMES012BAD-02"/>
    <d v="1899-12-30T09:25:00"/>
    <d v="1899-12-30T10:26:00"/>
    <n v="1.0166666666666671"/>
    <n v="3"/>
    <s v="3EDMIBerrechid"/>
  </r>
  <r>
    <x v="1"/>
    <s v="Bât B"/>
    <d v="2026-01-05T00:00:00"/>
    <x v="6"/>
    <s v="2026-M01"/>
    <n v="2026"/>
    <s v="Salah"/>
    <s v="Matin"/>
    <s v=" Test BFT"/>
    <s v="INTEGRATION/UFT"/>
    <x v="3"/>
    <s v="EDMI"/>
    <s v="EDMES012BAD-02"/>
    <d v="1899-12-30T10:20:00"/>
    <d v="1899-12-30T10:40:00"/>
    <n v="0.33333333333333215"/>
    <n v="3"/>
    <s v="3EDMIBerrechid"/>
  </r>
  <r>
    <x v="1"/>
    <s v="Bât B"/>
    <d v="2026-01-05T00:00:00"/>
    <x v="6"/>
    <s v="2026-M01"/>
    <n v="2026"/>
    <s v="Salah"/>
    <s v="Matin"/>
    <s v="Test ICT"/>
    <s v="Testeur ICT"/>
    <x v="3"/>
    <s v="EDMI"/>
    <s v="EDM830-010-107BRTIS:"/>
    <d v="1899-12-30T06:00:00"/>
    <d v="1899-12-30T11:20:00"/>
    <n v="5.333333333333333"/>
    <n v="3"/>
    <s v="3EDMIBerrechid"/>
  </r>
  <r>
    <x v="1"/>
    <s v="Bât B"/>
    <d v="2026-01-05T00:00:00"/>
    <x v="6"/>
    <s v="2026-M01"/>
    <n v="2026"/>
    <s v="Salah"/>
    <s v="Matin"/>
    <s v="Poste Laser "/>
    <s v="Poste Laser "/>
    <x v="3"/>
    <s v="EDMI"/>
    <s v="EDMES012BAXBA"/>
    <d v="1899-12-30T06:00:00"/>
    <d v="1899-12-30T12:40:00"/>
    <n v="6.666666666666667"/>
    <n v="3"/>
    <s v="3EDMIBerrechid"/>
  </r>
  <r>
    <x v="1"/>
    <s v="Bât B"/>
    <d v="2026-01-05T00:00:00"/>
    <x v="6"/>
    <s v="2026-M01"/>
    <n v="2026"/>
    <s v="Salah"/>
    <s v="Matin"/>
    <s v="Test Config"/>
    <s v="Test Config"/>
    <x v="3"/>
    <s v="EDMI"/>
    <s v="EDMES012BAXBA"/>
    <d v="1899-12-30T06:00:00"/>
    <d v="1899-12-30T13:40:00"/>
    <n v="7.6666666666666661"/>
    <n v="3"/>
    <s v="3EDMIBerrechid"/>
  </r>
  <r>
    <x v="1"/>
    <s v="Bât B"/>
    <d v="2026-01-05T00:00:00"/>
    <x v="6"/>
    <s v="2026-M01"/>
    <n v="2026"/>
    <s v="Oumaima"/>
    <s v="APM"/>
    <s v="Poste Laser "/>
    <s v="Poste Laser "/>
    <x v="3"/>
    <s v="EDMI"/>
    <s v="EDMES012BAXBA"/>
    <d v="1899-12-30T21:00:00"/>
    <d v="1899-12-30T22:00:00"/>
    <n v="0.99999999999999911"/>
    <n v="3"/>
    <s v="3EDMIBerrechid"/>
  </r>
  <r>
    <x v="1"/>
    <s v="Bât A"/>
    <d v="2026-01-05T00:00:00"/>
    <x v="6"/>
    <s v="2026-M01"/>
    <n v="2026"/>
    <s v="Ismail"/>
    <s v="APM"/>
    <s v="Test Takaya"/>
    <s v="Takaya-9400"/>
    <x v="8"/>
    <s v="Le reste"/>
    <s v="GRE619188870-R"/>
    <d v="1899-12-30T20:54:00"/>
    <d v="1899-12-30T22:00:00"/>
    <n v="1.0999999999999988"/>
    <n v="2"/>
    <s v="2Le resteBerrechid"/>
  </r>
  <r>
    <x v="1"/>
    <s v="Bât A"/>
    <d v="2026-01-06T00:00:00"/>
    <x v="6"/>
    <s v="2026-M01"/>
    <n v="2026"/>
    <s v="Ismail"/>
    <s v="Matin"/>
    <s v="Test Takaya"/>
    <s v="Takaya-9400"/>
    <x v="8"/>
    <s v="Le reste"/>
    <s v="GRE619188870-R"/>
    <d v="1899-12-30T06:00:00"/>
    <d v="1899-12-30T06:45:00"/>
    <n v="0.75"/>
    <n v="2"/>
    <s v="2Le resteBerrechid"/>
  </r>
  <r>
    <x v="1"/>
    <s v="Bât B"/>
    <d v="2026-01-06T00:00:00"/>
    <x v="6"/>
    <s v="2026-M01"/>
    <n v="2026"/>
    <s v="Tarik"/>
    <s v="Nuit"/>
    <s v="Test Config"/>
    <s v="Test Config"/>
    <x v="3"/>
    <s v="EDMI"/>
    <s v="EDMES010BAU10"/>
    <d v="1899-12-30T22:40:00"/>
    <d v="1899-12-30T02:40:00"/>
    <n v="4"/>
    <n v="3"/>
    <s v="3EDMIBerrechid"/>
  </r>
  <r>
    <x v="1"/>
    <s v="Bât B"/>
    <d v="2026-01-06T00:00:00"/>
    <x v="6"/>
    <s v="2026-M01"/>
    <n v="2026"/>
    <s v="Tarik"/>
    <s v="Nuit"/>
    <s v="Test Config"/>
    <s v="Test Config"/>
    <x v="3"/>
    <s v="EDMI"/>
    <s v="EDMES010BAU10"/>
    <d v="1899-12-30T05:00:00"/>
    <d v="1899-12-30T06:00:00"/>
    <n v="0.99999999999999978"/>
    <n v="3"/>
    <s v="3EDMIBerrechid"/>
  </r>
  <r>
    <x v="1"/>
    <s v="Bât A"/>
    <d v="2026-01-05T00:00:00"/>
    <x v="6"/>
    <s v="2026-M01"/>
    <n v="2026"/>
    <s v="Knidar"/>
    <s v="Nuit"/>
    <s v="CMS"/>
    <s v="LIGNE2"/>
    <x v="3"/>
    <s v="EDMI"/>
    <s v="EDM830-010-107BRTISH"/>
    <d v="1899-12-30T22:00:00"/>
    <d v="1899-12-30T23:00:00"/>
    <n v="1.0000000000000018"/>
    <n v="3"/>
    <s v="3EDMIBerrechid"/>
  </r>
  <r>
    <x v="1"/>
    <s v="Bât A"/>
    <d v="2026-01-05T00:00:00"/>
    <x v="6"/>
    <s v="2026-M01"/>
    <n v="2026"/>
    <s v="Knidar"/>
    <s v="Nuit"/>
    <s v="CMS"/>
    <s v="LIGNE2"/>
    <x v="3"/>
    <s v="EDMI"/>
    <s v="EDM830-010-107BRTISH"/>
    <d v="1899-12-30T02:45:00"/>
    <d v="1899-12-30T03:15:00"/>
    <n v="0.49999999999999989"/>
    <n v="3"/>
    <s v="3EDMIBerrechid"/>
  </r>
  <r>
    <x v="1"/>
    <s v="Bât B"/>
    <d v="2026-01-07T00:00:00"/>
    <x v="6"/>
    <s v="2026-M01"/>
    <n v="2026"/>
    <s v="Tarik"/>
    <s v="Nuit"/>
    <s v="finition "/>
    <s v="Finition"/>
    <x v="3"/>
    <s v="EDMI"/>
    <s v="EDM830-010-107BRTIS:"/>
    <d v="1899-12-30T01:50:00"/>
    <d v="1899-12-30T06:00:00"/>
    <n v="4.1666666666666661"/>
    <n v="3"/>
    <s v="3EDMIBerrechid"/>
  </r>
  <r>
    <x v="1"/>
    <s v="Bât A"/>
    <d v="2026-01-07T00:00:00"/>
    <x v="6"/>
    <s v="2026-M01"/>
    <n v="2026"/>
    <s v="Knidar"/>
    <s v="Nuit"/>
    <s v="CMS"/>
    <s v="LIGNE2"/>
    <x v="3"/>
    <s v="EDMI"/>
    <s v="EDM830-010-107BRTISH"/>
    <d v="1899-12-30T22:00:00"/>
    <d v="1899-12-30T22:25:00"/>
    <n v="0.41666666666666785"/>
    <n v="3"/>
    <s v="3EDMIBerrechid"/>
  </r>
  <r>
    <x v="1"/>
    <s v="Bât A"/>
    <d v="2026-01-07T00:00:00"/>
    <x v="6"/>
    <s v="2026-M01"/>
    <n v="2026"/>
    <s v="Knidar"/>
    <s v="Matin"/>
    <s v="CMS"/>
    <s v="LIGNE2"/>
    <x v="3"/>
    <s v="EDMI"/>
    <s v="EDM830-010-107BRTISH"/>
    <d v="1899-12-30T06:00:00"/>
    <d v="1899-12-30T06:15:00"/>
    <n v="0.25000000000000044"/>
    <n v="3"/>
    <s v="3EDMIBerrechid"/>
  </r>
  <r>
    <x v="1"/>
    <s v="Bât A"/>
    <d v="2026-01-07T00:00:00"/>
    <x v="6"/>
    <s v="2026-M01"/>
    <n v="2026"/>
    <s v="Knidar"/>
    <s v="APM"/>
    <s v="CMS"/>
    <s v="LIGNE2"/>
    <x v="3"/>
    <s v="EDMI"/>
    <s v="EDM830-010-107BRTISH"/>
    <d v="1899-12-30T14:00:00"/>
    <d v="1899-12-30T22:00:00"/>
    <n v="7.9999999999999982"/>
    <n v="3"/>
    <s v="3EDMIBerrechid"/>
  </r>
  <r>
    <x v="1"/>
    <s v="Bât A"/>
    <d v="2026-01-08T00:00:00"/>
    <x v="6"/>
    <s v="2026-M01"/>
    <n v="2026"/>
    <s v="Knidar"/>
    <s v="Matin"/>
    <s v="CMS"/>
    <s v="LIGNE2"/>
    <x v="3"/>
    <s v="EDMI"/>
    <s v="EDM830-010-107BRTISH"/>
    <d v="1899-12-30T06:00:00"/>
    <d v="1899-12-30T14:00:00"/>
    <n v="8"/>
    <n v="3"/>
    <s v="3EDMIBerrechid"/>
  </r>
  <r>
    <x v="0"/>
    <s v="TEM"/>
    <d v="2026-01-06T00:00:00"/>
    <x v="6"/>
    <s v="2026-M01"/>
    <n v="2026"/>
    <s v="Samira"/>
    <s v="Normale"/>
    <s v="Câbalge"/>
    <s v="Câbalge"/>
    <x v="0"/>
    <s v="Leclanché"/>
    <s v="NA"/>
    <d v="1900-01-11T13:00:00"/>
    <d v="1900-01-11T18:00:00"/>
    <n v="5.0000000000000142"/>
    <n v="1"/>
    <s v="1LeclanchéTemara"/>
  </r>
  <r>
    <x v="0"/>
    <s v="TEM"/>
    <d v="2026-01-06T00:00:00"/>
    <x v="6"/>
    <s v="2026-M01"/>
    <n v="2026"/>
    <s v="Dahab"/>
    <s v="Normale"/>
    <s v="Test"/>
    <s v="Test"/>
    <x v="1"/>
    <s v="ABB"/>
    <s v="NA"/>
    <d v="1900-01-11T14:00:00"/>
    <d v="1900-01-11T18:00:00"/>
    <n v="3.9999999999999858"/>
    <n v="1"/>
    <s v="1ABBTemara"/>
  </r>
  <r>
    <x v="0"/>
    <s v="TEM"/>
    <d v="2026-01-06T00:00:00"/>
    <x v="6"/>
    <s v="2026-M01"/>
    <n v="2026"/>
    <s v="Dahab"/>
    <s v="Normale"/>
    <s v="Préparation"/>
    <s v="Preparation hors carte"/>
    <x v="1"/>
    <s v="ABB"/>
    <s v="NA"/>
    <d v="1900-01-11T14:00:00"/>
    <d v="1900-01-11T16:00:00"/>
    <n v="1.9999999999999716"/>
    <n v="1"/>
    <s v="1ABBTemara"/>
  </r>
  <r>
    <x v="0"/>
    <s v="TEM"/>
    <d v="2026-01-07T00:00:00"/>
    <x v="6"/>
    <s v="2026-M01"/>
    <n v="2026"/>
    <s v="Dahab"/>
    <s v="Normale"/>
    <s v="Test"/>
    <s v="test diélectrique_x000a_(T4676-01)"/>
    <x v="1"/>
    <s v="ABB"/>
    <s v="NA"/>
    <d v="1900-01-11T10:00:00"/>
    <d v="1900-01-11T18:00:00"/>
    <n v="8.0000000000000142"/>
    <n v="1"/>
    <s v="1ABBTemara"/>
  </r>
  <r>
    <x v="0"/>
    <s v="TEM"/>
    <d v="2026-01-07T00:00:00"/>
    <x v="6"/>
    <s v="2026-M01"/>
    <n v="2026"/>
    <s v="Dahab"/>
    <s v="Normale"/>
    <s v="Brasage"/>
    <s v="Brasage"/>
    <x v="1"/>
    <s v="ABB"/>
    <s v="NA"/>
    <d v="1900-01-11T13:20:00"/>
    <d v="1900-01-11T18:00:00"/>
    <n v="4.6666666666666714"/>
    <n v="1"/>
    <s v="1ABBTemara"/>
  </r>
  <r>
    <x v="0"/>
    <s v="TEM"/>
    <d v="2026-01-07T00:00:00"/>
    <x v="6"/>
    <s v="2026-M01"/>
    <n v="2026"/>
    <s v="Dahab"/>
    <s v="Normale"/>
    <s v="Fermeture"/>
    <s v="Fermeture"/>
    <x v="1"/>
    <s v="ABB"/>
    <s v="NA"/>
    <d v="1900-01-11T13:20:00"/>
    <d v="1900-01-11T18:00:00"/>
    <n v="4.6666666666666714"/>
    <n v="1"/>
    <s v="1ABBTemara"/>
  </r>
  <r>
    <x v="0"/>
    <s v="TEM"/>
    <d v="2026-01-07T00:00:00"/>
    <x v="6"/>
    <s v="2026-M01"/>
    <n v="2026"/>
    <s v="Dahab"/>
    <s v="Normale"/>
    <s v="Tompgraphie"/>
    <s v="Tompgraphie"/>
    <x v="1"/>
    <s v="ABB"/>
    <s v="NA"/>
    <d v="1900-01-11T13:20:00"/>
    <d v="1900-01-11T18:00:00"/>
    <n v="4.6666666666666714"/>
    <n v="1"/>
    <s v="1ABBTemara"/>
  </r>
  <r>
    <x v="0"/>
    <s v="TEM"/>
    <d v="2026-01-07T00:00:00"/>
    <x v="6"/>
    <s v="2026-M01"/>
    <n v="2026"/>
    <s v="Dahab"/>
    <s v="Normale"/>
    <s v="Test"/>
    <s v="Test"/>
    <x v="1"/>
    <s v="ABB"/>
    <s v="NA"/>
    <d v="1900-01-11T13:20:00"/>
    <d v="1900-01-11T18:00:00"/>
    <n v="4.6666666666666714"/>
    <n v="1"/>
    <s v="1ABBTemara"/>
  </r>
  <r>
    <x v="0"/>
    <s v="TEM"/>
    <d v="2026-01-08T00:00:00"/>
    <x v="6"/>
    <s v="2026-M01"/>
    <n v="2026"/>
    <s v="Dahab"/>
    <s v="Normale"/>
    <s v="Test"/>
    <s v="test diélectrique_x000a_(T4676-01)"/>
    <x v="1"/>
    <s v="ABB"/>
    <n v="5012"/>
    <d v="1900-01-11T09:00:00"/>
    <d v="1900-01-11T18:00:00"/>
    <n v="9"/>
    <n v="1"/>
    <s v="1ABBTemara"/>
  </r>
  <r>
    <x v="0"/>
    <s v="TEM"/>
    <d v="2026-01-07T00:00:00"/>
    <x v="6"/>
    <s v="2026-M01"/>
    <n v="2026"/>
    <s v="Badia"/>
    <s v="Normale "/>
    <s v="Montage integration"/>
    <s v="Montage integration"/>
    <x v="9"/>
    <s v="Le reste"/>
    <s v="NA"/>
    <d v="1899-12-30T13:00:00"/>
    <d v="1899-12-30T18:00:00"/>
    <n v="5.0000000000000009"/>
    <n v="1"/>
    <s v="1Le resteTemara"/>
  </r>
  <r>
    <x v="0"/>
    <s v="TEM"/>
    <d v="2026-01-08T00:00:00"/>
    <x v="6"/>
    <s v="2026-M01"/>
    <n v="2026"/>
    <s v="Badia "/>
    <s v="Normale "/>
    <s v="Montage integration"/>
    <s v="Montage integration"/>
    <x v="10"/>
    <s v="Soluscope"/>
    <s v="NA"/>
    <d v="1899-12-30T13:00:00"/>
    <d v="1899-12-30T18:00:00"/>
    <n v="5.0000000000000009"/>
    <n v="1"/>
    <s v="1SoluscopeTemara"/>
  </r>
  <r>
    <x v="0"/>
    <s v="TEM"/>
    <d v="2026-01-08T00:00:00"/>
    <x v="6"/>
    <s v="2026-M01"/>
    <n v="2026"/>
    <s v="Dahab"/>
    <s v="Normale"/>
    <s v="Brasage"/>
    <s v="Brasage"/>
    <x v="1"/>
    <s v="ABB"/>
    <s v="NA"/>
    <d v="1900-01-11T08:30:00"/>
    <d v="1900-01-11T09:30:00"/>
    <n v="1"/>
    <n v="1"/>
    <s v="1ABBTemara"/>
  </r>
  <r>
    <x v="1"/>
    <s v="Bât A"/>
    <d v="2026-01-08T00:00:00"/>
    <x v="6"/>
    <s v="2026-M01"/>
    <n v="2026"/>
    <s v="Ismail"/>
    <s v="Matin "/>
    <s v="Test Fonctionnel"/>
    <s v="Programmation carte _x000a_EMSEJ-099B/B"/>
    <x v="4"/>
    <s v="EMS"/>
    <s v="EMSEJ-099B/B"/>
    <d v="1899-12-30T14:00:00"/>
    <d v="1899-12-30T15:00:00"/>
    <n v="0.99999999999999911"/>
    <n v="2"/>
    <s v="2EMSBerrechid"/>
  </r>
  <r>
    <x v="1"/>
    <s v="Bât A"/>
    <d v="2026-01-08T00:00:00"/>
    <x v="6"/>
    <s v="2026-M01"/>
    <n v="2026"/>
    <s v="Knidar"/>
    <s v="APM"/>
    <s v="CMS"/>
    <s v="LIGNE2"/>
    <x v="3"/>
    <s v="EDMI"/>
    <s v="EDM830-010-107BRTISH"/>
    <d v="1899-12-30T14:00:00"/>
    <d v="1899-12-30T16:00:00"/>
    <n v="1.9999999999999982"/>
    <n v="3"/>
    <s v="3EDMIBerrechid"/>
  </r>
  <r>
    <x v="1"/>
    <s v="Bât A"/>
    <d v="2026-01-08T00:00:00"/>
    <x v="6"/>
    <s v="2026-M01"/>
    <n v="2026"/>
    <s v="Ismail"/>
    <s v="APM"/>
    <s v="Test Takaya"/>
    <s v="Takaya-9400"/>
    <x v="4"/>
    <s v="EMS"/>
    <s v="DEBEJ-184A"/>
    <d v="1899-12-30T21:20:00"/>
    <d v="1899-12-30T22:00:00"/>
    <n v="0.66666666666666696"/>
    <n v="2"/>
    <s v="2EMSBerrechid"/>
  </r>
  <r>
    <x v="1"/>
    <s v="Bât A"/>
    <d v="2026-01-08T00:00:00"/>
    <x v="6"/>
    <s v="2026-M01"/>
    <n v="2026"/>
    <s v="Ismail"/>
    <s v="APM"/>
    <s v="Test Fonctionnel"/>
    <s v="Programmation carte _x000a_EMSEJ-099B/B"/>
    <x v="4"/>
    <s v="EMS"/>
    <s v="EMSEJ-099B/B"/>
    <d v="1899-12-30T21:20:00"/>
    <d v="1899-12-30T22:00:00"/>
    <n v="0.66666666666666696"/>
    <n v="2"/>
    <s v="2EMSBerrechid"/>
  </r>
  <r>
    <x v="1"/>
    <s v="Bât A"/>
    <d v="2026-01-09T00:00:00"/>
    <x v="6"/>
    <s v="2026-M01"/>
    <n v="2026"/>
    <s v="Ismail"/>
    <s v="Matin "/>
    <s v="Test Fonctionnel"/>
    <s v="Programmation carte _x000a_EMSEJ-099B/B"/>
    <x v="4"/>
    <s v="EMS"/>
    <s v="EMSEJ-099B/B"/>
    <d v="1899-12-30T07:00:00"/>
    <d v="1899-12-30T08:30:00"/>
    <n v="1.5"/>
    <n v="2"/>
    <s v="2EMSBerrechid"/>
  </r>
  <r>
    <x v="1"/>
    <s v="Bât A"/>
    <d v="2026-01-09T00:00:00"/>
    <x v="6"/>
    <s v="2026-M01"/>
    <n v="2026"/>
    <s v="Knidar"/>
    <s v="Nuit"/>
    <s v="CMS"/>
    <s v="LIGNE2"/>
    <x v="3"/>
    <s v="EDMI"/>
    <s v="EDM830-010-107BRTISH"/>
    <d v="1899-12-30T22:00:00"/>
    <d v="1899-12-30T01:40:00"/>
    <n v="3.8"/>
    <n v="3"/>
    <s v="3EDMIBerrechid"/>
  </r>
  <r>
    <x v="1"/>
    <s v="Bât A"/>
    <d v="2026-01-09T00:00:00"/>
    <x v="6"/>
    <s v="2026-M01"/>
    <n v="2026"/>
    <s v="Knidar"/>
    <s v="Matin"/>
    <s v="CMS"/>
    <s v="LIGNE2"/>
    <x v="3"/>
    <s v="EDMI"/>
    <s v="EDM830-013-152"/>
    <d v="1899-12-30T06:00:00"/>
    <d v="1899-12-30T12:00:00"/>
    <n v="6"/>
    <n v="3"/>
    <s v="3EDMIBerrechid"/>
  </r>
  <r>
    <x v="1"/>
    <s v="Bât A"/>
    <d v="2026-01-09T00:00:00"/>
    <x v="6"/>
    <s v="2026-M01"/>
    <n v="2026"/>
    <s v="Knidar"/>
    <s v="APM"/>
    <s v="CMS"/>
    <s v="LIGNE2"/>
    <x v="3"/>
    <s v="EDMI"/>
    <s v="EDM830-013-152"/>
    <d v="1899-12-30T14:00:00"/>
    <d v="1899-12-30T14:35:00"/>
    <n v="0.58333333333333126"/>
    <n v="3"/>
    <s v="3EDMIBerrechid"/>
  </r>
  <r>
    <x v="1"/>
    <s v="Bât A"/>
    <d v="2026-01-10T00:00:00"/>
    <x v="6"/>
    <s v="2026-M01"/>
    <n v="2026"/>
    <s v="Knidar"/>
    <s v="Niut"/>
    <s v="CMS"/>
    <s v="LIGNE2"/>
    <x v="3"/>
    <s v="EDMI"/>
    <s v="EDM830-013-152"/>
    <d v="1899-12-30T22:00:00"/>
    <d v="1899-12-30T23:00:00"/>
    <n v="1.0000000000000018"/>
    <n v="3"/>
    <s v="3EDMIBerrechid"/>
  </r>
  <r>
    <x v="1"/>
    <s v="Bât A"/>
    <d v="2026-01-10T00:00:00"/>
    <x v="6"/>
    <s v="2026-M01"/>
    <n v="2026"/>
    <s v="Knidar"/>
    <s v="Matin"/>
    <s v="CMS"/>
    <s v="LIGNE2"/>
    <x v="3"/>
    <s v="EDMI"/>
    <s v="EDM830-010-107BRTISH"/>
    <d v="1899-12-30T06:00:00"/>
    <d v="1899-12-30T12:00:00"/>
    <n v="6"/>
    <n v="3"/>
    <s v="3EDMIBerrechid"/>
  </r>
  <r>
    <x v="0"/>
    <s v="TEM"/>
    <d v="2026-01-09T00:00:00"/>
    <x v="6"/>
    <s v="2026-M01"/>
    <n v="2026"/>
    <s v="Dahab"/>
    <s v="Normale"/>
    <s v="Test"/>
    <s v="test diélectrique_x000a_(T4676-01)"/>
    <x v="1"/>
    <s v="ABB"/>
    <n v="5012"/>
    <d v="1900-01-11T08:30:00"/>
    <d v="1900-01-11T18:00:00"/>
    <n v="8.67"/>
    <n v="1"/>
    <s v="1ABBTemara"/>
  </r>
  <r>
    <x v="0"/>
    <s v="TEM"/>
    <d v="2026-01-09T00:00:00"/>
    <x v="6"/>
    <s v="2026-M01"/>
    <n v="2026"/>
    <s v="Dahab"/>
    <s v="Normale"/>
    <s v="Test"/>
    <s v="Test fonctionnel_x000a_(T4675-01)"/>
    <x v="1"/>
    <s v="ABB"/>
    <n v="5012"/>
    <d v="1900-01-11T09:30:00"/>
    <d v="1900-01-11T15:30:00"/>
    <n v="6"/>
    <n v="1"/>
    <s v="1ABBTemara"/>
  </r>
  <r>
    <x v="1"/>
    <s v="Bât B"/>
    <d v="2026-01-12T00:00:00"/>
    <x v="7"/>
    <s v="2026-M01"/>
    <n v="2026"/>
    <s v="Salah"/>
    <s v="Nuit"/>
    <s v="Testeur BFT"/>
    <s v="BFT"/>
    <x v="3"/>
    <s v="EDMI"/>
    <s v="EDM830-010-107BRTISH"/>
    <d v="1899-12-30T22:00:00"/>
    <d v="1899-12-30T22:30:00"/>
    <n v="0.50000000000000089"/>
    <n v="3"/>
    <s v="3EDMIBerrechid"/>
  </r>
  <r>
    <x v="1"/>
    <s v="Bât A"/>
    <d v="2026-01-12T00:00:00"/>
    <x v="7"/>
    <s v="2026-M01"/>
    <n v="2026"/>
    <s v="Knidar"/>
    <s v="Nuit"/>
    <s v="CMS"/>
    <s v="LIGNE 2"/>
    <x v="3"/>
    <s v="EDMI"/>
    <s v="EDM830-010-107BRTISH"/>
    <d v="1899-12-30T22:00:00"/>
    <d v="1899-12-30T23:20:00"/>
    <n v="1.3333333333333339"/>
    <n v="3"/>
    <s v="3EDMIBerrechid"/>
  </r>
  <r>
    <x v="1"/>
    <s v="Bât A"/>
    <d v="2026-01-12T00:00:00"/>
    <x v="7"/>
    <s v="2026-M01"/>
    <n v="2026"/>
    <s v="Knidar"/>
    <s v="Nuit"/>
    <s v="CMS"/>
    <s v="LIGNE 2"/>
    <x v="3"/>
    <s v="EDMI"/>
    <s v="EDM830-010-107BRTISH"/>
    <d v="1899-12-30T23:15:00"/>
    <d v="1899-12-30T00:00:00"/>
    <n v="0.75"/>
    <n v="3"/>
    <s v="3EDMIBerrechid"/>
  </r>
  <r>
    <x v="1"/>
    <s v="Bât A"/>
    <d v="2026-01-12T00:00:00"/>
    <x v="7"/>
    <s v="2026-M01"/>
    <n v="2026"/>
    <s v="Knidar"/>
    <s v="Nuit"/>
    <s v="CMS"/>
    <s v="LIGNE 2"/>
    <x v="3"/>
    <s v="EDMI"/>
    <s v="EDM830-010-107BRTISH"/>
    <d v="1899-12-30T00:00:00"/>
    <d v="1899-12-30T01:00:00"/>
    <n v="1"/>
    <n v="3"/>
    <s v="3EDMIBerrechid"/>
  </r>
  <r>
    <x v="1"/>
    <s v="Bât A"/>
    <d v="2026-01-12T00:00:00"/>
    <x v="7"/>
    <s v="2026-M01"/>
    <n v="2026"/>
    <s v="Ismail"/>
    <s v="Matin "/>
    <s v="Test Takaya"/>
    <s v="Takaya-9411"/>
    <x v="11"/>
    <s v="Le reste"/>
    <s v="SERRL5B"/>
    <d v="1899-12-30T09:55:00"/>
    <d v="1899-12-30T10:50:00"/>
    <n v="0.91666666666666741"/>
    <n v="2"/>
    <s v="2Le resteBerrechid"/>
  </r>
  <r>
    <x v="0"/>
    <s v="TEM"/>
    <d v="2026-01-12T00:00:00"/>
    <x v="7"/>
    <s v="2026-M01"/>
    <n v="2026"/>
    <s v="Dahab"/>
    <s v="Normale"/>
    <s v="Test"/>
    <s v="Test fonctionnel_x000a_(T4675-01)"/>
    <x v="1"/>
    <s v="ABB"/>
    <n v="5012"/>
    <d v="1900-01-11T08:30:00"/>
    <d v="1900-01-11T18:00:00"/>
    <n v="8.83"/>
    <n v="1"/>
    <s v="1ABBTemara"/>
  </r>
  <r>
    <x v="0"/>
    <s v="TEM"/>
    <d v="2026-01-12T00:00:00"/>
    <x v="7"/>
    <s v="2026-M01"/>
    <n v="2026"/>
    <s v="Dahab"/>
    <s v="Normale"/>
    <s v="Fermeture ultrason"/>
    <s v="T4662-01"/>
    <x v="1"/>
    <s v="ABB"/>
    <n v="5012"/>
    <d v="1900-01-11T12:00:00"/>
    <d v="1900-01-11T12:20:00"/>
    <n v="0.33333333333334281"/>
    <n v="1"/>
    <s v="1ABBTemara"/>
  </r>
  <r>
    <x v="0"/>
    <s v="TEM"/>
    <d v="2026-01-13T00:00:00"/>
    <x v="7"/>
    <s v="2026-M01"/>
    <n v="2026"/>
    <s v="Dahab"/>
    <s v="Normale"/>
    <s v="Test"/>
    <s v="Test fonctionnel_x000a_(T4675-01)"/>
    <x v="1"/>
    <s v="ABB"/>
    <n v="5012"/>
    <d v="1900-01-11T08:30:00"/>
    <d v="1900-01-11T18:00:00"/>
    <n v="8.83"/>
    <n v="1"/>
    <s v="1ABBTemara"/>
  </r>
  <r>
    <x v="0"/>
    <s v="TEM"/>
    <d v="2026-01-13T00:00:00"/>
    <x v="7"/>
    <s v="2026-M01"/>
    <n v="2026"/>
    <s v="Dahab"/>
    <s v="Normale"/>
    <s v="Tompgraphie"/>
    <s v="Tompgraphie"/>
    <x v="1"/>
    <s v="ABB"/>
    <n v="5001"/>
    <d v="1900-01-11T09:30:00"/>
    <d v="1900-01-11T18:00:00"/>
    <n v="7.83"/>
    <n v="1"/>
    <s v="1ABBTemara"/>
  </r>
  <r>
    <x v="0"/>
    <s v="TEM"/>
    <d v="2026-01-14T00:00:00"/>
    <x v="7"/>
    <s v="2026-M01"/>
    <n v="2026"/>
    <s v="Dahab"/>
    <s v="Normale"/>
    <s v="Tompgraphie"/>
    <s v="Tompgraphie"/>
    <x v="1"/>
    <s v="ABB"/>
    <n v="5001"/>
    <d v="1900-01-11T08:30:00"/>
    <d v="1900-01-11T10:30:00"/>
    <n v="2"/>
    <n v="1"/>
    <s v="1ABBTemara"/>
  </r>
  <r>
    <x v="0"/>
    <s v="TEM"/>
    <d v="2026-01-14T00:00:00"/>
    <x v="7"/>
    <s v="2026-M01"/>
    <n v="2026"/>
    <s v="Dahab"/>
    <s v="Normale"/>
    <s v="Test"/>
    <s v="Test fonctionnel_x000a_(T4675-01)"/>
    <x v="1"/>
    <s v="ABB"/>
    <n v="5012"/>
    <d v="1900-01-11T08:30:00"/>
    <d v="1900-01-11T18:00:00"/>
    <n v="8.83"/>
    <n v="1"/>
    <s v="1ABBTemara"/>
  </r>
  <r>
    <x v="1"/>
    <s v="Bât A"/>
    <d v="2026-01-13T00:00:00"/>
    <x v="7"/>
    <s v="2026-M01"/>
    <n v="2026"/>
    <s v="Ismail"/>
    <s v="APM"/>
    <s v="Test Fonctionnel"/>
    <s v="Test Fonctionnel Carte ENS2005345"/>
    <x v="12"/>
    <s v="Le reste"/>
    <s v="ENS2005345"/>
    <d v="1899-12-30T14:00:00"/>
    <d v="1899-12-30T22:00:00"/>
    <n v="7.9999999999999982"/>
    <n v="2"/>
    <s v="2Le resteBerrechid"/>
  </r>
  <r>
    <x v="1"/>
    <s v="Bât B"/>
    <d v="2026-01-14T00:00:00"/>
    <x v="7"/>
    <s v="2026-M01"/>
    <n v="2026"/>
    <s v="Oumaima"/>
    <s v="Matin "/>
    <s v="Test Config"/>
    <s v="Test Config"/>
    <x v="3"/>
    <s v="EDMI"/>
    <s v="EDMES012BAR00"/>
    <d v="1899-12-30T12:00:00"/>
    <d v="1899-12-30T13:39:00"/>
    <n v="1.6499999999999995"/>
    <n v="3"/>
    <s v="3EDMIBerrechid"/>
  </r>
  <r>
    <x v="1"/>
    <s v="Bât A"/>
    <d v="2026-01-15T00:00:00"/>
    <x v="7"/>
    <s v="2026-M01"/>
    <n v="2026"/>
    <s v="Knidar"/>
    <s v="Nuit"/>
    <s v="CMS"/>
    <s v="LIGNE 2"/>
    <x v="3"/>
    <s v="EDMI"/>
    <s v="EDM830-010-107BRTISH"/>
    <d v="1899-12-30T00:50:00"/>
    <d v="1899-12-30T06:00:00"/>
    <n v="5.166666666666667"/>
    <n v="3"/>
    <s v="3EDMIBerrechid"/>
  </r>
  <r>
    <x v="0"/>
    <s v="TEM"/>
    <d v="2026-01-15T00:00:00"/>
    <x v="7"/>
    <s v="2026-M01"/>
    <n v="2026"/>
    <s v="Dahab"/>
    <s v="Normale"/>
    <s v="Test"/>
    <s v="Test fonctionnel_x000a_(T4675-01)"/>
    <x v="1"/>
    <s v="ABB"/>
    <n v="5012"/>
    <d v="1900-01-11T08:30:00"/>
    <d v="1900-01-11T18:00:00"/>
    <n v="9.5000000000000142"/>
    <n v="1"/>
    <s v="1ABBTemara"/>
  </r>
  <r>
    <x v="1"/>
    <s v="Bât A"/>
    <d v="2026-01-15T00:00:00"/>
    <x v="7"/>
    <s v="2026-M01"/>
    <n v="2026"/>
    <s v="Ismail"/>
    <s v="APM"/>
    <s v="Test Takaya"/>
    <s v="Takaya-9411"/>
    <x v="13"/>
    <s v="Le reste"/>
    <s v="DISXCRT0211"/>
    <d v="1899-12-30T15:30:00"/>
    <d v="1899-12-30T16:30:00"/>
    <n v="0.99999999999999911"/>
    <n v="2"/>
    <s v="2Le resteBerrechid"/>
  </r>
  <r>
    <x v="1"/>
    <s v="Bât A"/>
    <d v="2026-01-15T00:00:00"/>
    <x v="7"/>
    <s v="2026-M01"/>
    <n v="2026"/>
    <s v="Ismail"/>
    <s v="APM"/>
    <s v="Test Takaya"/>
    <s v="Takaya-9411"/>
    <x v="13"/>
    <s v="Le reste"/>
    <s v="DISXCRT0211"/>
    <d v="1899-12-30T15:30:00"/>
    <d v="1899-12-30T16:30:00"/>
    <n v="0.99999999999999911"/>
    <n v="2"/>
    <s v="2Le resteBerrechid"/>
  </r>
  <r>
    <x v="1"/>
    <s v="Bât A"/>
    <d v="2026-01-15T00:00:00"/>
    <x v="7"/>
    <s v="2026-M01"/>
    <n v="2026"/>
    <s v="Ismail"/>
    <s v="APM"/>
    <s v="Test Fonctionnel "/>
    <s v="Test Fonctionnel _x000a_Carte SERRL5B"/>
    <x v="7"/>
    <s v="Le reste"/>
    <s v="SERRL5B"/>
    <d v="1899-12-30T15:30:00"/>
    <d v="1899-12-30T22:00:00"/>
    <n v="6.4999999999999982"/>
    <n v="2"/>
    <s v="2Le resteBerrechid"/>
  </r>
  <r>
    <x v="0"/>
    <s v="TEM"/>
    <d v="2026-01-16T00:00:00"/>
    <x v="7"/>
    <s v="2026-M01"/>
    <n v="2026"/>
    <s v="Badia"/>
    <s v="Normale"/>
    <s v="CABLAGE"/>
    <s v="INTEGRATION"/>
    <x v="10"/>
    <s v="Soluscope"/>
    <s v="Coffret  S4"/>
    <d v="1900-01-11T08:30:00"/>
    <d v="1900-01-11T12:00:00"/>
    <n v="3.5000000000000142"/>
    <n v="1"/>
    <s v="1SoluscopeTemara"/>
  </r>
  <r>
    <x v="0"/>
    <s v="TEM"/>
    <d v="2026-01-16T00:00:00"/>
    <x v="7"/>
    <s v="2026-M01"/>
    <n v="2026"/>
    <s v="Dahab"/>
    <s v="Normale"/>
    <s v="Test"/>
    <s v="Test fonctionnel_x000a_(T4675-01)"/>
    <x v="1"/>
    <s v="ABB"/>
    <n v="5012"/>
    <d v="1900-01-11T08:30:00"/>
    <d v="1900-01-11T18:00:00"/>
    <n v="9.5000000000000142"/>
    <n v="1"/>
    <s v="1ABBTemara"/>
  </r>
  <r>
    <x v="1"/>
    <s v="Bât B"/>
    <d v="2026-01-19T00:00:00"/>
    <x v="8"/>
    <s v="2026-M01"/>
    <n v="2026"/>
    <s v="Tarik"/>
    <s v="Matin"/>
    <s v="integration"/>
    <s v="Integration"/>
    <x v="3"/>
    <s v="EDMI"/>
    <s v="EDMES012BAD-02"/>
    <d v="1899-12-30T06:00:00"/>
    <d v="1899-12-30T07:30:00"/>
    <n v="1.5"/>
    <n v="3"/>
    <s v="3EDMIBerrechid"/>
  </r>
  <r>
    <x v="1"/>
    <s v="Bât A"/>
    <d v="2026-01-19T00:00:00"/>
    <x v="8"/>
    <s v="2026-M01"/>
    <n v="2026"/>
    <s v="Ismail"/>
    <s v="Matin"/>
    <s v="Test Fonctionnel "/>
    <s v="Test Fonctionnel _x000a_Carte SERRL5B"/>
    <x v="7"/>
    <s v="Le reste"/>
    <s v="SERRL5B"/>
    <d v="1899-12-30T06:00:00"/>
    <d v="1899-12-30T09:00:00"/>
    <n v="3"/>
    <n v="2"/>
    <s v="2Le resteBerrechid"/>
  </r>
  <r>
    <x v="0"/>
    <s v="TEM"/>
    <d v="2026-01-19T00:00:00"/>
    <x v="8"/>
    <s v="2026-M01"/>
    <n v="2026"/>
    <s v="Dahab"/>
    <s v="Normale"/>
    <s v="Test"/>
    <s v="Test fonctionnel_x000a_(T4675-01)"/>
    <x v="1"/>
    <s v="ABB"/>
    <n v="5012"/>
    <d v="1900-01-11T08:30:00"/>
    <d v="1900-01-11T18:00:00"/>
    <n v="9.5000000000000142"/>
    <n v="1"/>
    <s v="1ABBTemara"/>
  </r>
  <r>
    <x v="0"/>
    <s v="TEM"/>
    <d v="2026-01-20T00:00:00"/>
    <x v="8"/>
    <s v="2026-M01"/>
    <n v="2026"/>
    <s v="Dahab"/>
    <s v="Normale"/>
    <s v="Test"/>
    <s v="Test fonctionnel_x000a_(T4675-01)"/>
    <x v="1"/>
    <s v="ABB"/>
    <n v="5012"/>
    <d v="1900-01-11T08:30:00"/>
    <d v="1900-01-11T18:00:00"/>
    <n v="9.5000000000000142"/>
    <n v="1"/>
    <s v="1ABBTemara"/>
  </r>
  <r>
    <x v="0"/>
    <s v="TEM"/>
    <d v="2026-01-20T00:00:00"/>
    <x v="8"/>
    <s v="2026-M01"/>
    <n v="2026"/>
    <s v="Dahab"/>
    <s v="Normale"/>
    <s v="Fermeture"/>
    <s v="Fermeture"/>
    <x v="1"/>
    <s v="ABB"/>
    <s v="NA"/>
    <d v="1900-01-11T13:20:00"/>
    <d v="1900-01-11T18:00:00"/>
    <n v="4.6666666666666714"/>
    <n v="1"/>
    <s v="1ABBTemara"/>
  </r>
  <r>
    <x v="0"/>
    <s v="TEM"/>
    <d v="2026-01-20T00:00:00"/>
    <x v="8"/>
    <s v="2026-M01"/>
    <n v="2026"/>
    <s v="Dahab"/>
    <s v="Normale"/>
    <s v="Tompgraphie"/>
    <s v="Tompgraphie"/>
    <x v="1"/>
    <s v="ABB"/>
    <s v="NA"/>
    <d v="1900-01-11T13:20:00"/>
    <d v="1900-01-11T18:00:00"/>
    <n v="4.6666666666666714"/>
    <n v="1"/>
    <s v="1ABBTemara"/>
  </r>
  <r>
    <x v="0"/>
    <s v="TEM"/>
    <d v="2026-01-20T00:00:00"/>
    <x v="8"/>
    <s v="2026-M01"/>
    <n v="2026"/>
    <s v="Dahab"/>
    <s v="Normale"/>
    <s v="Brasage"/>
    <s v="Brasage"/>
    <x v="1"/>
    <s v="ABB"/>
    <s v="NA"/>
    <d v="1900-01-11T13:20:00"/>
    <d v="1900-01-11T18:00:00"/>
    <n v="4.6666666666666714"/>
    <n v="1"/>
    <s v="1ABBTemara"/>
  </r>
  <r>
    <x v="0"/>
    <s v="TEM"/>
    <d v="2026-01-20T00:00:00"/>
    <x v="8"/>
    <s v="2026-M01"/>
    <n v="2026"/>
    <s v="Dahab"/>
    <s v="Normale"/>
    <s v="Test"/>
    <s v="Test"/>
    <x v="1"/>
    <s v="ABB"/>
    <s v="NA"/>
    <d v="1900-01-11T13:20:00"/>
    <d v="1900-01-11T18:00:00"/>
    <n v="4.6666666666666714"/>
    <n v="1"/>
    <s v="1ABBTemara"/>
  </r>
  <r>
    <x v="0"/>
    <s v="TEM"/>
    <d v="2026-01-21T00:00:00"/>
    <x v="8"/>
    <s v="2026-M01"/>
    <n v="2026"/>
    <s v="Dahab"/>
    <s v="Normale"/>
    <s v="Fermeture"/>
    <s v="Fermeture"/>
    <x v="1"/>
    <s v="ABB"/>
    <s v="NA"/>
    <d v="1900-01-11T08:30:00"/>
    <d v="1900-01-11T13:20:00"/>
    <n v="4.8333333333333428"/>
    <n v="1"/>
    <s v="1ABBTemara"/>
  </r>
  <r>
    <x v="0"/>
    <s v="TEM"/>
    <d v="2026-01-21T00:00:00"/>
    <x v="8"/>
    <s v="2026-M01"/>
    <n v="2026"/>
    <s v="Dahab"/>
    <s v="Normale"/>
    <s v="Tompgraphie"/>
    <s v="Tompgraphie"/>
    <x v="1"/>
    <s v="ABB"/>
    <s v="NA"/>
    <d v="1900-01-11T08:30:00"/>
    <d v="1900-01-11T13:20:00"/>
    <n v="4.8333333333333428"/>
    <n v="1"/>
    <s v="1ABBTemara"/>
  </r>
  <r>
    <x v="0"/>
    <s v="TEM"/>
    <d v="2026-01-21T00:00:00"/>
    <x v="8"/>
    <s v="2026-M01"/>
    <n v="2026"/>
    <s v="Dahab"/>
    <s v="Normale"/>
    <s v="Brasage"/>
    <s v="Brasage"/>
    <x v="1"/>
    <s v="ABB"/>
    <s v="NA"/>
    <d v="1900-01-11T08:30:00"/>
    <d v="1900-01-11T13:20:00"/>
    <n v="4.8333333333333428"/>
    <n v="1"/>
    <s v="1ABBTemara"/>
  </r>
  <r>
    <x v="1"/>
    <s v="Bât A"/>
    <d v="2026-01-21T00:00:00"/>
    <x v="8"/>
    <s v="2026-M01"/>
    <n v="2026"/>
    <s v="Latifa"/>
    <s v="Normale"/>
    <s v="EMS"/>
    <s v="Etamage"/>
    <x v="4"/>
    <s v="EMS"/>
    <s v="EMSEL-628"/>
    <d v="1899-12-30T07:30:00"/>
    <d v="1899-12-30T10:30:00"/>
    <n v="3"/>
    <n v="2"/>
    <s v="2EMSBerrechid"/>
  </r>
  <r>
    <x v="1"/>
    <s v="Bât A"/>
    <d v="2026-01-21T00:00:00"/>
    <x v="8"/>
    <s v="2026-M01"/>
    <n v="2026"/>
    <s v="ELMIR"/>
    <s v="Matin"/>
    <s v="traversant"/>
    <s v="vague"/>
    <x v="3"/>
    <s v="EDMI"/>
    <s v="EDM830-010-107BRTISH"/>
    <d v="1899-12-30T08:20:00"/>
    <d v="1899-12-30T14:00:00"/>
    <n v="5.6666666666666679"/>
    <n v="3"/>
    <s v="3EDMIBerrechid"/>
  </r>
  <r>
    <x v="1"/>
    <s v="Bât A"/>
    <d v="2026-01-22T00:00:00"/>
    <x v="8"/>
    <s v="2026-M01"/>
    <n v="2026"/>
    <s v="Knidar"/>
    <s v="APM"/>
    <s v="CMS"/>
    <s v="LIGNE 2"/>
    <x v="3"/>
    <s v="EDMI"/>
    <s v="EDM830-010-107BRTISH"/>
    <d v="1899-12-30T14:00:00"/>
    <d v="1899-12-30T18:45:00"/>
    <n v="4.7499999999999991"/>
    <n v="3"/>
    <s v="3EDMIBerrechi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">
  <r>
    <x v="0"/>
    <s v="TEM"/>
    <d v="2025-12-01T00:00:00"/>
    <x v="0"/>
    <x v="0"/>
    <n v="2025"/>
    <s v="SAMIRA"/>
    <s v="NORMALE"/>
    <s v="INTÉGRATION"/>
    <s v="Intégration"/>
    <s v="LECLANCHÉ"/>
    <s v="LECLANCHÉ"/>
    <s v="FNM+AGC+INTEGR"/>
    <d v="1899-12-30T12:00:00"/>
    <d v="1899-12-30T23:00:00"/>
    <n v="59"/>
    <n v="1"/>
    <s v="1LECLANCHÉTEMARA"/>
    <n v="4.9079257159331154E-2"/>
    <x v="0"/>
    <s v="Manque bussbart LEC455, disjoncteur LEC281, vis LEC0466 et LEC0869"/>
    <x v="0"/>
    <s v="NAOUFEL"/>
  </r>
  <r>
    <x v="0"/>
    <s v="TEM"/>
    <d v="2025-12-05T00:00:00"/>
    <x v="0"/>
    <x v="0"/>
    <n v="2025"/>
    <s v="DAHAB"/>
    <s v="NORMALE"/>
    <s v="FERMETURE ULTRASON"/>
    <s v="T4662-01"/>
    <s v="ABB"/>
    <s v="ABB"/>
    <n v="5001"/>
    <d v="1899-12-30T12:00:00"/>
    <d v="1899-12-30T18:00:00"/>
    <n v="6"/>
    <n v="1"/>
    <s v="1ABBTEMARA"/>
    <n v="1.0455206131078223E-2"/>
    <x v="1"/>
    <s v="Excès de bavure"/>
    <x v="1"/>
    <s v="NAOUFEL"/>
  </r>
  <r>
    <x v="0"/>
    <s v="TEM"/>
    <d v="2025-12-08T00:00:00"/>
    <x v="1"/>
    <x v="0"/>
    <n v="2025"/>
    <s v="DAHAB"/>
    <s v="NORMALE"/>
    <s v="FERMETURE ULTRASON"/>
    <s v="T4662-01"/>
    <s v="ABB"/>
    <s v="ABB"/>
    <n v="5012"/>
    <d v="1899-12-30T08:30:00"/>
    <d v="1899-12-30T16:30:00"/>
    <n v="8.0000000000000142"/>
    <n v="1"/>
    <s v="1ABBTEMARA"/>
    <n v="1.3940274841437656E-2"/>
    <x v="2"/>
    <s v="Fissure"/>
    <x v="1"/>
    <s v="NAOUFEL"/>
  </r>
  <r>
    <x v="0"/>
    <s v="TEM"/>
    <d v="2025-12-11T00:00:00"/>
    <x v="1"/>
    <x v="0"/>
    <n v="2025"/>
    <s v="SAMIRA"/>
    <s v="NORMALE"/>
    <s v="SERTISSAGE GROSSE SECTION"/>
    <s v="Pince hudraulique TR1462 T 402"/>
    <s v="LECLANCHÉ"/>
    <s v="LECLANCHÉ"/>
    <s v="LEC0000088"/>
    <d v="1899-12-30T10:00:00"/>
    <d v="1899-12-30T15:00:00"/>
    <n v="5.0000000000000142"/>
    <n v="1"/>
    <s v="1LECLANCHÉTEMARA"/>
    <n v="4.1592590812992627E-3"/>
    <x v="3"/>
    <s v="Tige de verrouillage cassée"/>
    <x v="1"/>
    <s v="NAOUFEL"/>
  </r>
  <r>
    <x v="0"/>
    <s v="TEM"/>
    <d v="2025-12-12T00:00:00"/>
    <x v="1"/>
    <x v="0"/>
    <n v="2025"/>
    <s v="DAHAB"/>
    <s v="NORMALE"/>
    <s v="FERMETURE ULTRASON"/>
    <s v="T4662-01"/>
    <s v="ABB"/>
    <s v="ABB"/>
    <n v="5012"/>
    <d v="1899-12-30T11:00:00"/>
    <d v="1899-12-30T12:00:00"/>
    <n v="0.99999999999998579"/>
    <n v="1"/>
    <s v="1ABBTEMARA"/>
    <n v="1.7425343551796793E-3"/>
    <x v="2"/>
    <s v="Fissure"/>
    <x v="1"/>
    <s v="NAOUFEL"/>
  </r>
  <r>
    <x v="0"/>
    <s v="TEM"/>
    <d v="2025-12-15T00:00:00"/>
    <x v="2"/>
    <x v="0"/>
    <n v="2025"/>
    <s v="ANAS"/>
    <s v="NORMALE"/>
    <s v="TEST"/>
    <s v="T5008-19"/>
    <s v="IES"/>
    <s v="LE RESTE"/>
    <s v="Tower"/>
    <d v="1899-12-30T12:20:00"/>
    <d v="1899-12-30T17:30:00"/>
    <n v="5.166666666666643"/>
    <n v="1"/>
    <s v="1LE RESTETEMARA"/>
    <n v="1.1202471330642526E-2"/>
    <x v="4"/>
    <s v="Blocage à l'étape Carte module"/>
    <x v="2"/>
    <s v="NAOUFAL + PAUL"/>
  </r>
  <r>
    <x v="0"/>
    <s v="TEM"/>
    <d v="2025-12-16T00:00:00"/>
    <x v="2"/>
    <x v="0"/>
    <n v="2025"/>
    <s v="DAHAB"/>
    <s v="NORMALE"/>
    <s v="FERMETURE ULTRASON"/>
    <s v="T4662-01"/>
    <s v="ABB"/>
    <s v="ABB"/>
    <n v="5005"/>
    <d v="1899-12-30T09:15:00"/>
    <d v="1899-12-30T10:15:00"/>
    <n v="1.0000000000000284"/>
    <n v="1"/>
    <s v="1ABBTEMARA"/>
    <n v="1.7425343551797535E-3"/>
    <x v="5"/>
    <s v="Défaut de plaquage du plaquage"/>
    <x v="1"/>
    <s v="NAOUFEL"/>
  </r>
  <r>
    <x v="0"/>
    <s v="TEM"/>
    <d v="2025-12-18T00:00:00"/>
    <x v="2"/>
    <x v="0"/>
    <n v="2025"/>
    <s v="ANAS"/>
    <s v="NORMALE"/>
    <s v="TEST"/>
    <s v="T5008-19"/>
    <s v="IES"/>
    <s v="LE RESTE"/>
    <s v="Tower"/>
    <d v="1899-12-30T09:00:00"/>
    <d v="1899-12-30T11:00:00"/>
    <n v="2.0000000000000142"/>
    <n v="1"/>
    <s v="1LE RESTETEMARA"/>
    <n v="4.33644051508748E-3"/>
    <x v="4"/>
    <s v="Blocage à l'étape Carte module"/>
    <x v="2"/>
    <s v="ABDELLAH/ANAS"/>
  </r>
  <r>
    <x v="0"/>
    <s v="TEM"/>
    <d v="2025-12-19T00:00:00"/>
    <x v="2"/>
    <x v="0"/>
    <n v="2025"/>
    <s v="DAHAB"/>
    <s v="NORMALE"/>
    <s v="TEST"/>
    <s v="PO70032"/>
    <s v="ABB"/>
    <s v="ABB"/>
    <n v="5018"/>
    <d v="1899-12-30T10:05:00"/>
    <d v="1899-12-30T16:00:00"/>
    <n v="5.916666666666643"/>
    <n v="1"/>
    <s v="1ABBTEMARA"/>
    <n v="1.0309994934813207E-2"/>
    <x v="6"/>
    <s v="Problème du mot de passe"/>
    <x v="3"/>
    <s v="KARIM"/>
  </r>
  <r>
    <x v="0"/>
    <s v="TEM"/>
    <d v="2025-12-22T00:00:00"/>
    <x v="3"/>
    <x v="0"/>
    <n v="2025"/>
    <s v="DAHAB"/>
    <s v="NORMALE"/>
    <s v="FERMETURE ULTRASON"/>
    <s v="T4662-01"/>
    <s v="ABB"/>
    <s v="ABB"/>
    <n v="5036"/>
    <d v="1899-12-30T15:10:00"/>
    <d v="1899-12-30T15:43:00"/>
    <n v="0.55000000000001137"/>
    <n v="1"/>
    <s v="1ABBTEMARA"/>
    <n v="9.58393895348857E-4"/>
    <x v="5"/>
    <s v="Problème du plaquage"/>
    <x v="1"/>
    <s v="NAOUFEL"/>
  </r>
  <r>
    <x v="0"/>
    <s v="TEM"/>
    <d v="2025-12-22T00:00:00"/>
    <x v="3"/>
    <x v="0"/>
    <n v="2025"/>
    <s v="DAHAB"/>
    <s v="NORMALE"/>
    <s v="TAMPOGRAPHIE"/>
    <s v="T4680-01"/>
    <s v="ABB"/>
    <s v="ABB"/>
    <n v="5040"/>
    <d v="1899-12-30T14:10:00"/>
    <d v="1899-12-30T15:40:00"/>
    <n v="1.5"/>
    <n v="1"/>
    <s v="1ABBTEMARA"/>
    <n v="2.6138015327695557E-3"/>
    <x v="7"/>
    <s v="Taraudage foiré du support cliché"/>
    <x v="1"/>
    <s v="NAOUFEL"/>
  </r>
  <r>
    <x v="0"/>
    <s v="TEM"/>
    <d v="2025-12-22T00:00:00"/>
    <x v="3"/>
    <x v="0"/>
    <n v="2025"/>
    <s v="DAHAB"/>
    <s v="NORMALE"/>
    <s v="TEST"/>
    <s v="PO70032"/>
    <s v="ABB"/>
    <s v="ABB"/>
    <n v="5058"/>
    <d v="1899-12-30T09:00:00"/>
    <d v="1899-12-30T18:00:00"/>
    <n v="9"/>
    <n v="1"/>
    <s v="1ABBTEMARA"/>
    <n v="1.5682809196617336E-2"/>
    <x v="8"/>
    <s v="PC banc de test ne s'allume pas"/>
    <x v="1"/>
    <s v="NAOUFEL /MOUJAHID"/>
  </r>
  <r>
    <x v="0"/>
    <s v="TEM"/>
    <d v="2025-12-23T00:00:00"/>
    <x v="3"/>
    <x v="0"/>
    <n v="2025"/>
    <s v="DAHAB"/>
    <s v="NORMALE"/>
    <s v="TEST"/>
    <s v="PO70032"/>
    <s v="ABB"/>
    <s v="ABB"/>
    <n v="5012"/>
    <d v="1899-12-30T09:00:00"/>
    <d v="1899-12-30T18:00:00"/>
    <n v="9"/>
    <n v="1"/>
    <s v="1ABBTEMARA"/>
    <n v="1.5682809196617336E-2"/>
    <x v="8"/>
    <s v="PC banc de test ne s'allume pas"/>
    <x v="1"/>
    <s v="NAOUFEL /MOUJAHID"/>
  </r>
  <r>
    <x v="0"/>
    <s v="TEM"/>
    <d v="2025-12-23T00:00:00"/>
    <x v="3"/>
    <x v="0"/>
    <n v="2025"/>
    <s v="DAHAB"/>
    <s v="NORMALE"/>
    <s v="TAMPOGRAPHIE"/>
    <s v="T4680-01"/>
    <s v="ABB"/>
    <s v="ABB"/>
    <n v="5075"/>
    <d v="1899-12-30T08:30:00"/>
    <d v="1899-12-30T12:30:00"/>
    <n v="4.0000000000000284"/>
    <n v="1"/>
    <s v="1ABBTEMARA"/>
    <n v="6.9701374207188664E-3"/>
    <x v="7"/>
    <s v="Taraudage foiré du support cliché"/>
    <x v="1"/>
    <s v="NAOUFEL"/>
  </r>
  <r>
    <x v="1"/>
    <s v="Bât B"/>
    <d v="2025-12-23T00:00:00"/>
    <x v="3"/>
    <x v="0"/>
    <n v="2025"/>
    <s v="OUMAIMA"/>
    <s v="MATIN"/>
    <s v="INTÉGRATION "/>
    <s v="Intégration 1"/>
    <s v="EDMI"/>
    <s v="EDMI"/>
    <s v="EDMES030CAD-00"/>
    <d v="1899-12-30T12:50:00"/>
    <d v="1899-12-30T14:00:00"/>
    <n v="1.1666666666666679"/>
    <n v="3"/>
    <s v="3EDMIBERRECHID"/>
    <n v="9.0392561983471164E-4"/>
    <x v="9"/>
    <s v="Pb de scan sur la carte display EDM830-00144 qty 20 cartes_x000a_Pb de scan sur la carte ICHIS EDM830-00140 qty 85 cartes "/>
    <x v="2"/>
    <s v="ENCOURS DE TRAITEMENT PAR YOUNESS ADAM"/>
  </r>
  <r>
    <x v="1"/>
    <s v="Bât B"/>
    <d v="2025-12-24T00:00:00"/>
    <x v="3"/>
    <x v="0"/>
    <n v="2025"/>
    <s v="OUMAIMA"/>
    <s v="MATIN"/>
    <s v="INTÉGRATION "/>
    <s v="Intégration "/>
    <s v="EDMI"/>
    <s v="EDMI"/>
    <s v="EDMES030CAD-00"/>
    <d v="1899-12-30T06:00:00"/>
    <d v="1899-12-30T06:30:00"/>
    <n v="0.49999999999999956"/>
    <n v="3"/>
    <s v="3EDMIBERRECHID"/>
    <n v="3.8739669421487566E-4"/>
    <x v="10"/>
    <s v="Manque de moyens de travail (chariots, chaises, bacs)"/>
    <x v="2"/>
    <s v="DÉPANNAGE"/>
  </r>
  <r>
    <x v="1"/>
    <s v="Bât B"/>
    <d v="2025-12-24T00:00:00"/>
    <x v="3"/>
    <x v="0"/>
    <n v="2025"/>
    <s v="OUMAIMA"/>
    <s v="MATIN"/>
    <s v="INTÉGRATION "/>
    <s v="Intégration 1"/>
    <s v="EDMI"/>
    <s v="EDMI"/>
    <s v="EDMES030CAD-00"/>
    <d v="1899-12-30T08:00:00"/>
    <d v="1899-12-30T09:00:00"/>
    <n v="1.0000000000000004"/>
    <n v="3"/>
    <s v="3EDMIBERRECHID"/>
    <n v="7.747933884297523E-4"/>
    <x v="11"/>
    <s v="Manque d'étiquette d'intégration (erreur impression, saut lot)"/>
    <x v="4"/>
    <s v="GOTNI "/>
  </r>
  <r>
    <x v="1"/>
    <s v="Bât B"/>
    <d v="2025-12-24T00:00:00"/>
    <x v="3"/>
    <x v="0"/>
    <n v="2025"/>
    <s v="OUMAIMA"/>
    <s v="MATIN"/>
    <s v="INTÉGRATION "/>
    <s v="Dégrappage "/>
    <s v="EDMI"/>
    <s v="EDMI"/>
    <s v="EDMES030CAD-00"/>
    <d v="1899-12-30T11:15:00"/>
    <d v="1899-12-30T11:35:00"/>
    <n v="0.33333333333333348"/>
    <n v="3"/>
    <s v="3EDMIBERRECHID"/>
    <n v="2.5826446280991742E-4"/>
    <x v="0"/>
    <s v="Manque de carte display EDM830-00144 (retard transport)"/>
    <x v="0"/>
    <s v="BOUDRA"/>
  </r>
  <r>
    <x v="1"/>
    <s v="Bât B"/>
    <d v="2025-12-24T00:00:00"/>
    <x v="3"/>
    <x v="0"/>
    <n v="2025"/>
    <s v="OUMAIMA"/>
    <s v="MATIN"/>
    <s v="TEST UFT "/>
    <s v="Test UFT "/>
    <s v="EDMI"/>
    <s v="EDMI"/>
    <s v="EDMS010BXD-10-BRITIS:"/>
    <d v="1899-12-30T11:20:00"/>
    <d v="1899-12-30T12:00:00"/>
    <n v="0.66666666666666696"/>
    <n v="3"/>
    <s v="3EDMIBERRECHID"/>
    <n v="5.1652892561983483E-4"/>
    <x v="12"/>
    <s v="Arrêt test UFT suite à l'intervention de service test"/>
    <x v="2"/>
    <s v="AMINE/SAID"/>
  </r>
  <r>
    <x v="1"/>
    <s v="Bât B"/>
    <d v="2025-12-24T00:00:00"/>
    <x v="3"/>
    <x v="0"/>
    <n v="2025"/>
    <s v="TARIK"/>
    <s v="APM"/>
    <s v="TEST ICT"/>
    <s v="Testeur ICT"/>
    <s v="EDMI"/>
    <s v="EDMI"/>
    <s v="EDMES030CAD-00"/>
    <d v="1899-12-30T20:45:00"/>
    <d v="1899-12-30T21:30:00"/>
    <n v="0.75"/>
    <n v="3"/>
    <s v="3EDMIBERRECHID"/>
    <n v="5.8109504132231396E-4"/>
    <x v="13"/>
    <s v="Pb lors du passage de la réf EDM830-00144 à l'ICT (interface)"/>
    <x v="2"/>
    <s v="SAID"/>
  </r>
  <r>
    <x v="1"/>
    <s v="Bât A"/>
    <d v="2025-12-24T00:00:00"/>
    <x v="3"/>
    <x v="0"/>
    <n v="2025"/>
    <s v="ISMAIL"/>
    <s v="APM"/>
    <s v="TEST"/>
    <s v="TAKAYA-9400"/>
    <s v="EMS"/>
    <s v="EMS"/>
    <s v="EMS-156"/>
    <d v="1899-12-30T16:00:00"/>
    <d v="1899-12-30T16:30:00"/>
    <n v="0.50000000000000089"/>
    <n v="2"/>
    <s v="2EMSBERRECHID"/>
    <n v="9.2975206611570419E-5"/>
    <x v="14"/>
    <s v="Prob Relay on-test"/>
    <x v="1"/>
    <s v="SLIMANE"/>
  </r>
  <r>
    <x v="1"/>
    <s v="Bât A"/>
    <d v="2025-12-24T00:00:00"/>
    <x v="3"/>
    <x v="0"/>
    <n v="2025"/>
    <s v="ISMAIL"/>
    <s v="APM"/>
    <s v="TEST"/>
    <s v="TAKAYA-9400"/>
    <s v="EMS"/>
    <s v="EMS"/>
    <s v="EMS-167"/>
    <d v="1899-12-30T20:00:00"/>
    <d v="1899-12-30T20:40:00"/>
    <n v="0.66666666666666696"/>
    <n v="2"/>
    <s v="2EMSBERRECHID"/>
    <n v="1.2396694214876041E-4"/>
    <x v="15"/>
    <s v="Bug de la machine Takaya-9400"/>
    <x v="1"/>
    <s v="INTERVENTION A DISTANCE_x000a_( ISMAIL )"/>
  </r>
  <r>
    <x v="1"/>
    <s v="Bât A"/>
    <d v="2025-12-25T00:00:00"/>
    <x v="3"/>
    <x v="0"/>
    <n v="2025"/>
    <s v="ISMAIL"/>
    <s v="MATIN"/>
    <s v="TEST"/>
    <s v="Test Fonctionnel "/>
    <s v="MERCK"/>
    <s v="LE RESTE"/>
    <s v="MEMMERPF08040"/>
    <d v="1899-12-30T11:50:00"/>
    <d v="1899-12-30T18:00:00"/>
    <n v="6.1666666666666661"/>
    <n v="2"/>
    <s v="2LE RESTEBERRECHID"/>
    <n v="2.388946280991735E-3"/>
    <x v="16"/>
    <s v="Détection de 4 cartes successives en défaut (Index : 47)"/>
    <x v="2"/>
    <s v="INTERVENTION DE ( SAID + ISMAIL : VALIDATION DE ADEL ) "/>
  </r>
  <r>
    <x v="1"/>
    <s v="Bât B"/>
    <d v="2025-12-26T00:00:00"/>
    <x v="3"/>
    <x v="0"/>
    <n v="2025"/>
    <s v="OUMAIMA"/>
    <s v="MATIN"/>
    <s v="INTÉGRATION "/>
    <s v="Intégration "/>
    <s v="EDMI"/>
    <s v="EDMI"/>
    <s v="EDMS010BXD-10-BRITIS:"/>
    <d v="1899-12-30T09:30:00"/>
    <d v="1899-12-30T11:00:00"/>
    <n v="1.5"/>
    <n v="3"/>
    <s v="3EDMIBERRECHID"/>
    <n v="1.1621900826446279E-3"/>
    <x v="17"/>
    <s v="Dysfonctionnement de convoyeur de posage d'intégration"/>
    <x v="1"/>
    <s v="SLIMANE "/>
  </r>
  <r>
    <x v="1"/>
    <s v="Bât A"/>
    <d v="2025-12-22T00:00:00"/>
    <x v="3"/>
    <x v="0"/>
    <n v="2025"/>
    <s v="KNIDAR"/>
    <s v="NUIT"/>
    <s v="CMS"/>
    <s v="LIGNE 2"/>
    <s v="EDMI"/>
    <s v="EDMI"/>
    <s v="EDM830-010-107BRTISH"/>
    <d v="1899-12-30T22:00:00"/>
    <d v="1899-12-30T22:36:00"/>
    <n v="0.60000000000000053"/>
    <n v="3"/>
    <s v="3EDMIBERRECHID"/>
    <n v="4.6487603305785162E-4"/>
    <x v="18"/>
    <s v="Recherche Bobine + chargement (Mq Séquenceur)"/>
    <x v="0"/>
    <s v="AYOUB"/>
  </r>
  <r>
    <x v="1"/>
    <s v="Bât A"/>
    <d v="2025-12-22T00:00:00"/>
    <x v="3"/>
    <x v="0"/>
    <n v="2025"/>
    <s v="KNIDAR"/>
    <s v="APM"/>
    <s v="CMS"/>
    <s v="LIGNE 2"/>
    <s v="EDMI"/>
    <s v="EDMI"/>
    <s v="EDM830-010-107BRTISH"/>
    <d v="1899-12-30T14:00:00"/>
    <d v="1899-12-30T14:36:00"/>
    <n v="0.60000000000000053"/>
    <n v="3"/>
    <s v="3EDMIBERRECHID"/>
    <n v="4.6487603305785162E-4"/>
    <x v="18"/>
    <s v="Recherche Bobine + chargement (Manque séquenceur)"/>
    <x v="0"/>
    <s v="MEHDI"/>
  </r>
  <r>
    <x v="1"/>
    <s v="Bât A"/>
    <d v="2025-12-23T00:00:00"/>
    <x v="3"/>
    <x v="0"/>
    <n v="2025"/>
    <s v="KNIDAR"/>
    <s v="NUIT"/>
    <s v="CMS"/>
    <s v="LIGNE 2"/>
    <s v="EDMI"/>
    <s v="EDMI"/>
    <s v="EDM830-010-107BRTISH"/>
    <d v="1899-12-30T22:00:00"/>
    <d v="1899-12-30T22:36:00"/>
    <n v="0.60000000000000053"/>
    <n v="3"/>
    <s v="3EDMIBERRECHID"/>
    <n v="4.6487603305785162E-4"/>
    <x v="18"/>
    <s v="Recherche Bobine + chargement (Mq Séquenceur)"/>
    <x v="0"/>
    <s v="AYOUB"/>
  </r>
  <r>
    <x v="1"/>
    <s v="Bât A"/>
    <d v="2025-12-23T00:00:00"/>
    <x v="3"/>
    <x v="0"/>
    <n v="2025"/>
    <s v="KNIDAR"/>
    <s v="MATIN"/>
    <s v="CMS"/>
    <s v="LIGNE 2"/>
    <s v="EDMI"/>
    <s v="EDMI"/>
    <s v="EDM830-010-107BRTISH"/>
    <d v="1899-12-30T06:00:00"/>
    <d v="1899-12-30T06:24:00"/>
    <n v="0.39999999999999991"/>
    <n v="3"/>
    <s v="3EDMIBERRECHID"/>
    <n v="3.0991735537190074E-4"/>
    <x v="18"/>
    <s v="Recherche Bobine + chargement (Manque séquenceur)"/>
    <x v="0"/>
    <s v="BRAHIM"/>
  </r>
  <r>
    <x v="1"/>
    <s v="Bât A"/>
    <d v="2025-12-23T00:00:00"/>
    <x v="3"/>
    <x v="0"/>
    <n v="2025"/>
    <s v="KHADIM"/>
    <s v="APM"/>
    <s v="CMS"/>
    <s v="LIGNE 2"/>
    <s v="EDMI"/>
    <s v="EDMI"/>
    <s v="EDM830-010-107BRTISH"/>
    <d v="1899-12-30T06:00:00"/>
    <d v="1899-12-30T06:24:00"/>
    <n v="0.39999999999999991"/>
    <n v="3"/>
    <s v="3EDMIBERRECHID"/>
    <n v="3.0991735537190074E-4"/>
    <x v="18"/>
    <s v="Recherche Bobine + chargement (Manque séquenceur)"/>
    <x v="0"/>
    <s v="MEHDI"/>
  </r>
  <r>
    <x v="1"/>
    <s v="Bât A"/>
    <d v="2025-12-23T00:00:00"/>
    <x v="3"/>
    <x v="0"/>
    <n v="2025"/>
    <s v="KNIDAR"/>
    <s v="MATIN"/>
    <s v="CMS"/>
    <s v="LIGNE 2"/>
    <s v="EDMI"/>
    <s v="EDMI"/>
    <s v="EDM830-010-107BRTISH"/>
    <d v="1899-12-30T06:00:00"/>
    <d v="1899-12-30T06:24:00"/>
    <n v="0.39999999999999991"/>
    <n v="3"/>
    <s v="3EDMIBERRECHID"/>
    <n v="3.0991735537190074E-4"/>
    <x v="19"/>
    <s v="PILOTE de ligne en Formation"/>
    <x v="5"/>
    <s v="BRAHIM"/>
  </r>
  <r>
    <x v="1"/>
    <s v="Bât A"/>
    <d v="2025-12-23T00:00:00"/>
    <x v="3"/>
    <x v="0"/>
    <n v="2025"/>
    <s v="KNIDAR"/>
    <s v="APM"/>
    <s v="CMS"/>
    <s v="LIGNE 2"/>
    <s v="EDMI"/>
    <s v="EDMI"/>
    <s v="EDM830-010-107BRTISH"/>
    <d v="1899-12-30T14:00:00"/>
    <d v="1899-12-30T14:30:00"/>
    <n v="0.50000000000000089"/>
    <n v="3"/>
    <s v="3EDMIBERRECHID"/>
    <n v="3.8739669421487669E-4"/>
    <x v="20"/>
    <s v="PILOTE de ligne en Formation (remplacement du départ)"/>
    <x v="5"/>
    <s v="KHADIM"/>
  </r>
  <r>
    <x v="1"/>
    <s v="Bât A"/>
    <d v="2025-12-24T00:00:00"/>
    <x v="3"/>
    <x v="0"/>
    <n v="2025"/>
    <s v="KNIDAR"/>
    <s v="NUIT"/>
    <s v="CMS"/>
    <s v="LIGNE 2"/>
    <s v="EDMI"/>
    <s v="EDMI"/>
    <s v="EDM830-010-107BRTISH"/>
    <d v="1899-12-30T22:00:00"/>
    <d v="1899-12-30T22:24:00"/>
    <n v="0.40000000000000124"/>
    <n v="3"/>
    <s v="3EDMIBERRECHID"/>
    <n v="3.0991735537190177E-4"/>
    <x v="18"/>
    <s v="Recherche Bobine + chargement (Mq Séquenceur)"/>
    <x v="0"/>
    <s v="AYOUB"/>
  </r>
  <r>
    <x v="1"/>
    <s v="Bât A"/>
    <d v="2025-12-24T00:00:00"/>
    <x v="3"/>
    <x v="0"/>
    <n v="2025"/>
    <s v="KNIDAR"/>
    <s v="MATIN"/>
    <s v="CMS"/>
    <s v="LIGNE 2"/>
    <s v="EDMI"/>
    <s v="EDMI"/>
    <s v="EDM830-010-107BRTISH"/>
    <d v="1899-12-30T06:00:00"/>
    <d v="1899-12-30T06:24:00"/>
    <n v="0.39999999999999991"/>
    <n v="3"/>
    <s v="3EDMIBERRECHID"/>
    <n v="3.0991735537190074E-4"/>
    <x v="21"/>
    <s v="Coupure électrique"/>
    <x v="1"/>
    <s v="BATAR"/>
  </r>
  <r>
    <x v="1"/>
    <s v="Bât A"/>
    <d v="2025-12-24T00:00:00"/>
    <x v="3"/>
    <x v="0"/>
    <n v="2025"/>
    <s v="KNIDAR"/>
    <s v="APM"/>
    <s v="CMS"/>
    <s v="LIGNE 2"/>
    <s v="EDMI"/>
    <s v="EDMI"/>
    <s v="EDM830-010-107BRTISH"/>
    <d v="1899-12-30T14:00:00"/>
    <d v="1899-12-30T14:30:00"/>
    <n v="0.50000000000000089"/>
    <n v="3"/>
    <s v="3EDMIBERRECHID"/>
    <n v="3.8739669421487669E-4"/>
    <x v="18"/>
    <s v="Recherche Bobine + chargement (Manque séquenceur)"/>
    <x v="0"/>
    <s v="MEHDI"/>
  </r>
  <r>
    <x v="1"/>
    <s v="Bât A"/>
    <d v="2025-12-24T00:00:00"/>
    <x v="3"/>
    <x v="0"/>
    <n v="2025"/>
    <s v="KNIDAR"/>
    <s v="APM"/>
    <s v="CMS"/>
    <s v="LIGNE 2"/>
    <s v="EDMI"/>
    <s v="EDMI"/>
    <s v="EDM830-010-107BRTISH"/>
    <d v="1899-12-30T14:00:00"/>
    <d v="1899-12-30T15:00:00"/>
    <n v="0.99999999999999911"/>
    <n v="3"/>
    <s v="3EDMIBERRECHID"/>
    <n v="7.7479338842975133E-4"/>
    <x v="20"/>
    <s v="PILOTE de ligne en Formation (remplacement du départ)"/>
    <x v="5"/>
    <s v="KHADIM"/>
  </r>
  <r>
    <x v="1"/>
    <s v="Bât A"/>
    <d v="2025-12-25T00:00:00"/>
    <x v="3"/>
    <x v="0"/>
    <n v="2025"/>
    <s v="KNIDAR"/>
    <s v="NUIT"/>
    <s v="CMS"/>
    <s v="LIGNE 2"/>
    <s v="EDMI"/>
    <s v="EDMI"/>
    <s v="EDM830-010-107BRTISH"/>
    <d v="1899-12-30T22:00:00"/>
    <d v="1899-12-30T22:24:00"/>
    <n v="0.40000000000000124"/>
    <n v="3"/>
    <s v="3EDMIBERRECHID"/>
    <n v="3.0991735537190177E-4"/>
    <x v="18"/>
    <s v="Recherche Bobine + chargement (Mq Séquenceur)"/>
    <x v="0"/>
    <s v="AYOUB"/>
  </r>
  <r>
    <x v="1"/>
    <s v="Bât A"/>
    <d v="2025-12-25T00:00:00"/>
    <x v="3"/>
    <x v="0"/>
    <n v="2025"/>
    <s v="KNIDAR"/>
    <s v="NUIT"/>
    <s v="CMS"/>
    <s v="LIGNE 2"/>
    <s v="EDMI"/>
    <s v="EDMI"/>
    <s v="EDM830-010-107BRTISH"/>
    <d v="1899-12-30T22:00:00"/>
    <d v="1899-12-30T23:42:00"/>
    <n v="1.6999999999999993"/>
    <n v="3"/>
    <s v="3EDMIBERRECHID"/>
    <n v="1.3171487603305778E-3"/>
    <x v="18"/>
    <s v="Recherche Bobine + chargement (Manque séquenceur)"/>
    <x v="0"/>
    <s v="BRAHIM"/>
  </r>
  <r>
    <x v="1"/>
    <s v="Bât A"/>
    <d v="2025-12-25T00:00:00"/>
    <x v="3"/>
    <x v="0"/>
    <n v="2025"/>
    <s v="KNIDAR"/>
    <s v="NUIT"/>
    <s v="CMS"/>
    <s v="LIGNE 2"/>
    <s v="EDMI"/>
    <s v="EDMI"/>
    <s v="EDM830-010-107BRTISH"/>
    <d v="1899-12-30T22:00:00"/>
    <d v="1899-12-30T22:36:00"/>
    <n v="0.60000000000000053"/>
    <n v="3"/>
    <s v="3EDMIBERRECHID"/>
    <n v="4.6487603305785162E-4"/>
    <x v="18"/>
    <s v="Recherche Bobine + chargement (Manque séquenceur)"/>
    <x v="0"/>
    <s v="MEHDI"/>
  </r>
  <r>
    <x v="1"/>
    <s v="Bât A"/>
    <d v="2025-12-25T00:00:00"/>
    <x v="3"/>
    <x v="0"/>
    <n v="2025"/>
    <s v="KNIDAR"/>
    <s v="APM"/>
    <s v="CMS"/>
    <s v="LIGNE 2"/>
    <s v="EDMI"/>
    <s v="EDMI"/>
    <s v="EDM830-010-107BRTISH"/>
    <d v="1899-12-30T14:00:00"/>
    <d v="1899-12-30T14:36:00"/>
    <n v="0.60000000000000053"/>
    <n v="3"/>
    <s v="3EDMIBERRECHID"/>
    <n v="4.6487603305785162E-4"/>
    <x v="20"/>
    <s v="PILOTE de ligne en Formation (remplacement du départ)"/>
    <x v="5"/>
    <s v="KHADIM"/>
  </r>
  <r>
    <x v="1"/>
    <s v="Bât A"/>
    <d v="2025-12-26T00:00:00"/>
    <x v="3"/>
    <x v="0"/>
    <n v="2025"/>
    <s v="KNIDAR"/>
    <s v="NUIT"/>
    <s v="CMS"/>
    <s v="LIGNE 2"/>
    <s v="EDMI"/>
    <s v="EDMI"/>
    <s v="EDM830-010-107BRTISH"/>
    <d v="1899-12-30T14:00:00"/>
    <d v="1899-12-30T22:00:00"/>
    <n v="7.9999999999999982"/>
    <n v="3"/>
    <s v="3EDMIBERRECHID"/>
    <n v="6.198347107438015E-3"/>
    <x v="18"/>
    <s v="Basculement ligne sur ES12B (Mq Feeders)"/>
    <x v="0"/>
    <s v="HOUSSAM"/>
  </r>
  <r>
    <x v="1"/>
    <s v="Bât A"/>
    <d v="2025-12-26T00:00:00"/>
    <x v="3"/>
    <x v="0"/>
    <n v="2025"/>
    <s v="KNIDAR"/>
    <s v="MATIN"/>
    <s v="CMS"/>
    <s v="LIGNE 2"/>
    <s v="EDMI"/>
    <s v="EDMI"/>
    <s v="EDM830-010-107BRTISH"/>
    <d v="1899-12-30T14:00:00"/>
    <d v="1899-12-30T22:00:00"/>
    <n v="7.9999999999999982"/>
    <n v="3"/>
    <s v="3EDMIBERRECHID"/>
    <n v="6.198347107438015E-3"/>
    <x v="18"/>
    <s v="Basculement ligne sur ES12B (Mq Feeders)"/>
    <x v="0"/>
    <s v="HOUSSAM"/>
  </r>
  <r>
    <x v="1"/>
    <s v="Bât A"/>
    <d v="2025-12-26T00:00:00"/>
    <x v="3"/>
    <x v="0"/>
    <n v="2025"/>
    <s v="KNIDAR"/>
    <s v="APM"/>
    <s v="CMS"/>
    <s v="LIGNE 3"/>
    <s v="EDMI"/>
    <s v="EDMI"/>
    <s v="EDM830-010-107BRTISH"/>
    <d v="1899-12-30T14:00:00"/>
    <d v="1899-12-30T22:00:00"/>
    <n v="7.9999999999999982"/>
    <n v="3"/>
    <s v="3EDMIBERRECHID"/>
    <n v="6.198347107438015E-3"/>
    <x v="18"/>
    <s v="Basculement ligne sur ES12B (Manque feeders)"/>
    <x v="0"/>
    <s v="HOUSSAM"/>
  </r>
  <r>
    <x v="1"/>
    <s v="Bât B"/>
    <d v="2025-12-27T00:00:00"/>
    <x v="3"/>
    <x v="0"/>
    <n v="2025"/>
    <s v="TARIK"/>
    <s v="APM"/>
    <s v="POSTE LASER "/>
    <s v="Poste Laser "/>
    <s v="EDMI"/>
    <s v="EDMI"/>
    <s v="EDMES010BAU10"/>
    <d v="1899-12-30T21:00:00"/>
    <d v="1899-12-30T21:24:36"/>
    <n v="0.41000000000000014"/>
    <n v="3"/>
    <s v="3EDMIBERRECHID"/>
    <n v="3.1766528925619838E-4"/>
    <x v="22"/>
    <s v="9 Produits ayant le même marquage ASSET TAG"/>
    <x v="2"/>
    <s v="ADAM"/>
  </r>
  <r>
    <x v="1"/>
    <s v="Bât B"/>
    <d v="2025-12-27T00:00:00"/>
    <x v="3"/>
    <x v="0"/>
    <n v="2025"/>
    <s v="SALAH"/>
    <s v="NUIT"/>
    <s v="INTÉGRATION "/>
    <s v="Intégration "/>
    <s v="EDMI"/>
    <s v="EDMI"/>
    <s v="EDMS010BXD-10-BRITIS:"/>
    <d v="1899-12-30T20:30:00"/>
    <d v="1899-12-30T21:00:00"/>
    <n v="0.50000000000000089"/>
    <n v="3"/>
    <s v="3EDMIBERRECHID"/>
    <n v="3.8739669421487669E-4"/>
    <x v="17"/>
    <s v="Dégradation de convoyeur de posage d'intégration"/>
    <x v="1"/>
    <s v="BATAR"/>
  </r>
  <r>
    <x v="1"/>
    <s v="Bât B"/>
    <d v="2025-12-27T00:00:00"/>
    <x v="3"/>
    <x v="0"/>
    <n v="2025"/>
    <s v="OUMAIMA"/>
    <s v="MATIN"/>
    <s v="INTÉGRATION "/>
    <s v="Intégration "/>
    <s v="EDMI"/>
    <s v="EDMI"/>
    <s v="EDMS010BXD-10-BRITIS:"/>
    <d v="1899-12-30T06:00:00"/>
    <d v="1899-12-30T06:30:00"/>
    <n v="0.50000000000000022"/>
    <n v="3"/>
    <s v="3EDMIBERRECHID"/>
    <n v="3.8739669421487615E-4"/>
    <x v="17"/>
    <s v="Dysfonctionnement de convoyeur de posage d'intégration"/>
    <x v="1"/>
    <s v="BATAR"/>
  </r>
  <r>
    <x v="1"/>
    <s v="Bât B"/>
    <d v="2025-12-27T00:00:00"/>
    <x v="3"/>
    <x v="0"/>
    <n v="2025"/>
    <s v="OUMAIMA"/>
    <s v="MATIN"/>
    <s v="FINITION"/>
    <s v="Finition"/>
    <s v="EDMI"/>
    <s v="EDMI"/>
    <s v="EDM830-010-107BRTIS:"/>
    <d v="1899-12-30T09:00:00"/>
    <d v="1899-12-30T11:27:00"/>
    <n v="2.4500000000000006"/>
    <n v="3"/>
    <s v="3EDMIBERRECHID"/>
    <n v="1.8982438016528929E-3"/>
    <x v="23"/>
    <s v="Présence d'eau sur les postes de travail"/>
    <x v="1"/>
    <s v="BATAR"/>
  </r>
  <r>
    <x v="1"/>
    <s v="Bât A"/>
    <d v="2025-12-26T00:00:00"/>
    <x v="3"/>
    <x v="0"/>
    <n v="2025"/>
    <s v="KNIDAR"/>
    <s v="APM"/>
    <s v="CMS"/>
    <s v="LIGNE 2"/>
    <s v="EDMI"/>
    <s v="EDMI"/>
    <s v="EDM830-013-152"/>
    <d v="1899-12-30T06:00:00"/>
    <d v="1899-12-30T14:00:00"/>
    <n v="7.9999999999999982"/>
    <n v="3"/>
    <s v="3EDMIBERRECHID"/>
    <n v="6.198347107438015E-3"/>
    <x v="24"/>
    <s v="Déchargement ED10B et chargement ES12B (prog non optimisé)"/>
    <x v="2"/>
    <s v="ABOUELWAFA+KNIDAR+KHADIM"/>
  </r>
  <r>
    <x v="1"/>
    <s v="Bât A"/>
    <d v="2025-12-27T00:00:00"/>
    <x v="3"/>
    <x v="0"/>
    <n v="2025"/>
    <s v="KNIDAR"/>
    <s v="MATIN"/>
    <s v="CMS"/>
    <s v="LIGNE 2"/>
    <s v="EDMI"/>
    <s v="EDMI"/>
    <s v="EDM830-013-152"/>
    <d v="1899-12-30T08:00:00"/>
    <d v="1899-12-30T13:45:00"/>
    <n v="5.7500000000000009"/>
    <n v="3"/>
    <s v="3EDMIBERRECHID"/>
    <n v="4.4550619834710752E-3"/>
    <x v="25"/>
    <s v="Décalage composants + écart quantité Cogiscan (48% prod)"/>
    <x v="2"/>
    <s v="ABOUELWAFA+KNIDAR+KHADIM"/>
  </r>
  <r>
    <x v="1"/>
    <s v="Bât A"/>
    <d v="2025-12-28T00:00:00"/>
    <x v="4"/>
    <x v="0"/>
    <n v="2025"/>
    <s v="KNIDAR"/>
    <s v="MATIN"/>
    <s v="CMS"/>
    <s v="LIGNE 2"/>
    <s v="EDMI"/>
    <s v="EDMI"/>
    <s v="EDM830-013-152"/>
    <d v="1899-12-30T10:00:00"/>
    <d v="1899-12-30T13:35:00"/>
    <n v="3.5833333333333326"/>
    <n v="3"/>
    <s v="3EDMIBERRECHID"/>
    <n v="2.7763429752066106E-3"/>
    <x v="24"/>
    <s v="Programme non optimisé CMS + écart Cogiscan (65% prod)"/>
    <x v="2"/>
    <s v="ABOUELWAFA+KNIDAR+KHADIM"/>
  </r>
  <r>
    <x v="1"/>
    <s v="Bât A"/>
    <d v="2025-12-28T00:00:00"/>
    <x v="4"/>
    <x v="0"/>
    <n v="2025"/>
    <s v="LATIFA"/>
    <s v="MATIN"/>
    <s v="ZONE EMS"/>
    <s v="Finition EMS"/>
    <s v="EMS"/>
    <s v="EMS"/>
    <s v="EMSEL-628"/>
    <d v="1899-12-30T12:20:00"/>
    <d v="1899-12-30T13:00:00"/>
    <n v="0.66666666666666696"/>
    <n v="2"/>
    <s v="2EMSBERRECHID"/>
    <n v="1.2396694214876041E-4"/>
    <x v="21"/>
    <s v="Coupure d'électricité"/>
    <x v="1"/>
    <s v="BATAR"/>
  </r>
  <r>
    <x v="1"/>
    <s v="Bât A"/>
    <d v="2025-12-29T00:00:00"/>
    <x v="4"/>
    <x v="0"/>
    <n v="2025"/>
    <s v="KNIDAR"/>
    <s v="MATIN"/>
    <s v="CMS"/>
    <s v="LIGNE 2"/>
    <s v="EDMI"/>
    <s v="EDMI"/>
    <s v="EDM830-013-152"/>
    <d v="1899-12-30T12:25:00"/>
    <d v="1899-12-30T13:25:00"/>
    <n v="0.99999999999999911"/>
    <n v="3"/>
    <s v="3EDMIBERRECHID"/>
    <n v="7.7479338842975133E-4"/>
    <x v="26"/>
    <s v="Coupure électrique sur ateliers Bâtiment A"/>
    <x v="1"/>
    <s v="BATAR"/>
  </r>
  <r>
    <x v="1"/>
    <s v="Bât A"/>
    <d v="2025-12-29T00:00:00"/>
    <x v="4"/>
    <x v="0"/>
    <n v="2025"/>
    <s v="ELMIR"/>
    <s v="MATIN"/>
    <s v="TRAVERSSANT"/>
    <s v="vague"/>
    <s v="EDMI"/>
    <s v="EDMI"/>
    <s v="EDM830-013-152"/>
    <d v="1899-12-30T12:25:00"/>
    <d v="1899-12-30T12:55:00"/>
    <n v="0.49999999999999822"/>
    <n v="3"/>
    <s v="3EDMIBERRECHID"/>
    <n v="3.8739669421487458E-4"/>
    <x v="26"/>
    <s v="Coupure électrique sur ateliers Bâtiment A"/>
    <x v="1"/>
    <s v="BATAR"/>
  </r>
  <r>
    <x v="1"/>
    <s v="Bât A"/>
    <d v="2025-12-29T00:00:00"/>
    <x v="4"/>
    <x v="0"/>
    <n v="2025"/>
    <s v="ISMAIL"/>
    <s v="MATIN"/>
    <s v="TEST TAKAYA"/>
    <s v="TAKAYA-9400"/>
    <s v="CP"/>
    <s v="LE RESTE"/>
    <s v="GRE6159188870-R"/>
    <d v="1899-12-30T12:30:00"/>
    <d v="1899-12-30T13:00:00"/>
    <n v="0.49999999999999822"/>
    <n v="2"/>
    <s v="2LE RESTEBERRECHID"/>
    <n v="1.9369834710743729E-4"/>
    <x v="21"/>
    <s v="Coupure d'électricité"/>
    <x v="1"/>
    <s v="BATAR"/>
  </r>
  <r>
    <x v="1"/>
    <s v="Bât A"/>
    <d v="2025-12-29T00:00:00"/>
    <x v="4"/>
    <x v="0"/>
    <n v="2025"/>
    <s v="ISMAIL"/>
    <s v="MATIN"/>
    <s v="TEST TAKAYA"/>
    <s v="Takaya-9411"/>
    <s v="CP"/>
    <s v="LE RESTE"/>
    <s v="CEGRE6159197042-R"/>
    <d v="1899-12-30T12:30:00"/>
    <d v="1899-12-30T13:00:00"/>
    <n v="0.49999999999999822"/>
    <n v="2"/>
    <s v="2LE RESTEBERRECHID"/>
    <n v="1.9369834710743729E-4"/>
    <x v="21"/>
    <s v="Coupure d'électricité"/>
    <x v="1"/>
    <s v="BATAR"/>
  </r>
  <r>
    <x v="1"/>
    <s v="Bât B"/>
    <d v="2025-12-30T00:00:00"/>
    <x v="4"/>
    <x v="0"/>
    <n v="2025"/>
    <s v="TARIK"/>
    <s v="MATIN"/>
    <s v="FINITION"/>
    <s v="Finition"/>
    <s v="EDMI"/>
    <s v="EDMI"/>
    <s v="EDM830-013-152"/>
    <d v="1899-12-30T08:30:00"/>
    <d v="1899-12-30T09:39:36"/>
    <n v="1.1600000000000001"/>
    <n v="3"/>
    <s v="3EDMIBERRECHID"/>
    <n v="8.9876033057851245E-4"/>
    <x v="0"/>
    <s v="Manque des PCB ES-12B"/>
    <x v="0"/>
    <s v="ABOUDA"/>
  </r>
  <r>
    <x v="1"/>
    <s v="Bât B"/>
    <d v="2025-12-30T00:00:00"/>
    <x v="4"/>
    <x v="0"/>
    <n v="2025"/>
    <s v="TARIK"/>
    <s v="MATIN"/>
    <s v="TEST ICT"/>
    <s v="Testeur ICT"/>
    <s v="EDMI"/>
    <s v="EDMI"/>
    <s v="EDM830-013-152"/>
    <d v="1899-12-30T08:10:00"/>
    <d v="1899-12-30T10:29:48"/>
    <n v="2.3300000000000005"/>
    <n v="3"/>
    <s v="3EDMIBERRECHID"/>
    <n v="1.8052685950413225E-3"/>
    <x v="27"/>
    <s v="Débogage de programme ICT ES12B"/>
    <x v="2"/>
    <s v="SAID"/>
  </r>
  <r>
    <x v="1"/>
    <s v="Bât B"/>
    <d v="2025-12-30T00:00:00"/>
    <x v="4"/>
    <x v="0"/>
    <n v="2025"/>
    <s v="TARIK"/>
    <s v="MATIN"/>
    <s v="TEST ICT"/>
    <s v="Testeur ICT"/>
    <s v="EDMI"/>
    <s v="EDMI"/>
    <s v="EDM830-013-152"/>
    <d v="1899-12-30T11:00:00"/>
    <d v="1899-12-30T12:19:48"/>
    <n v="1.33"/>
    <n v="3"/>
    <s v="3EDMIBERRECHID"/>
    <n v="1.0304752066115702E-3"/>
    <x v="27"/>
    <s v="Débogage de programme ICT ES12B"/>
    <x v="2"/>
    <s v="SAID"/>
  </r>
  <r>
    <x v="1"/>
    <s v="Bât B"/>
    <d v="2025-12-30T00:00:00"/>
    <x v="4"/>
    <x v="0"/>
    <n v="2025"/>
    <s v="TARIK"/>
    <s v="MATIN"/>
    <s v="TEST ICT"/>
    <s v="Testeur ICT"/>
    <s v="EDMI"/>
    <s v="EDMI"/>
    <s v="EDM830-013-152"/>
    <d v="1899-12-30T12:40:00"/>
    <d v="1899-12-30T13:19:36"/>
    <n v="0.65999999999999925"/>
    <n v="3"/>
    <s v="3EDMIBERRECHID"/>
    <n v="5.1136363636363575E-4"/>
    <x v="27"/>
    <s v="Débogage de programme ICT ES12B"/>
    <x v="2"/>
    <s v="SAID"/>
  </r>
  <r>
    <x v="1"/>
    <s v="Bât B"/>
    <d v="2025-12-30T00:00:00"/>
    <x v="4"/>
    <x v="0"/>
    <n v="2025"/>
    <s v="TARIK"/>
    <s v="MATIN"/>
    <s v="TEST :I-POT"/>
    <s v="Test :i-pot"/>
    <s v="EDMI"/>
    <s v="EDMI"/>
    <s v="EDM830-013-152"/>
    <d v="1899-12-30T13:15:00"/>
    <d v="1899-12-30T14:24:36"/>
    <n v="1.1600000000000001"/>
    <n v="3"/>
    <s v="3EDMIBERRECHID"/>
    <n v="8.9876033057851245E-4"/>
    <x v="28"/>
    <s v="Testeur Hi-pot en arrêt"/>
    <x v="2"/>
    <s v="SAID"/>
  </r>
  <r>
    <x v="1"/>
    <s v="Bât B"/>
    <d v="2025-12-30T00:00:00"/>
    <x v="4"/>
    <x v="0"/>
    <n v="2025"/>
    <s v="SALAH"/>
    <s v="APM"/>
    <s v="DÉGRAPPAGE"/>
    <s v="Dégrappage"/>
    <s v="EDMI"/>
    <s v="EDMI"/>
    <s v="EDM830-013-152"/>
    <d v="1899-12-30T15:50:00"/>
    <d v="1899-12-30T16:59:36"/>
    <n v="1.1600000000000001"/>
    <n v="3"/>
    <s v="3EDMIBERRECHID"/>
    <n v="8.9876033057851245E-4"/>
    <x v="29"/>
    <s v="Installation Programme 12B"/>
    <x v="2"/>
    <s v="OMAR"/>
  </r>
  <r>
    <x v="1"/>
    <s v="Bât B"/>
    <d v="2025-12-30T00:00:00"/>
    <x v="4"/>
    <x v="0"/>
    <n v="2025"/>
    <s v="SALAH"/>
    <s v="APM"/>
    <s v=" TEST BFT"/>
    <s v="Testeur BFT"/>
    <s v="EDMI"/>
    <s v="EDMI"/>
    <s v="EDM830-013-152"/>
    <d v="1899-12-30T15:50:00"/>
    <d v="1899-12-30T16:59:36"/>
    <n v="1.1600000000000001"/>
    <n v="3"/>
    <s v="3EDMIBERRECHID"/>
    <n v="8.9876033057851245E-4"/>
    <x v="30"/>
    <s v="Changement câbles air pour connecter testeur 12B"/>
    <x v="2"/>
    <s v="AMINE"/>
  </r>
  <r>
    <x v="1"/>
    <s v="Bât B"/>
    <d v="2025-12-30T00:00:00"/>
    <x v="4"/>
    <x v="0"/>
    <n v="2025"/>
    <s v="SALAH"/>
    <s v="APM"/>
    <s v="TEST ICT"/>
    <s v="Testeur ICT"/>
    <s v="EDMI"/>
    <s v="EDMI"/>
    <s v="EDM830-013-152"/>
    <d v="1899-12-30T14:00:00"/>
    <d v="1899-12-30T15:09:36"/>
    <n v="1.1600000000000001"/>
    <n v="3"/>
    <s v="3EDMIBERRECHID"/>
    <n v="8.9876033057851245E-4"/>
    <x v="31"/>
    <s v="Plusieurs positions cartes fail"/>
    <x v="2"/>
    <s v="SAID"/>
  </r>
  <r>
    <x v="1"/>
    <s v="Bât B"/>
    <d v="2025-12-31T00:00:00"/>
    <x v="4"/>
    <x v="0"/>
    <n v="2025"/>
    <s v="OUMAIMA"/>
    <s v="NUIT"/>
    <s v=" TEST BFT"/>
    <s v="Testeur BFT"/>
    <s v="EDMI"/>
    <s v="EDMI"/>
    <s v="EDM830-013-152"/>
    <d v="1899-12-30T02:00:00"/>
    <d v="1899-12-30T03:09:36"/>
    <n v="1.1600000000000001"/>
    <n v="3"/>
    <s v="3EDMIBERRECHID"/>
    <n v="8.9876033057851245E-4"/>
    <x v="32"/>
    <s v="Disfonctionnement de (tester application SUFT)"/>
    <x v="2"/>
    <s v="SAID+AMINE"/>
  </r>
  <r>
    <x v="1"/>
    <s v="Bât A"/>
    <d v="2025-12-30T00:00:00"/>
    <x v="4"/>
    <x v="0"/>
    <n v="2025"/>
    <s v="KNIDAR"/>
    <s v="NUIT"/>
    <s v="CMS"/>
    <s v="LIGNE 2"/>
    <s v="EDMI"/>
    <s v="EDMI"/>
    <s v="EDM830-010-107BRTISH"/>
    <d v="1899-12-30T22:00:00"/>
    <d v="1899-12-30T01:54:00"/>
    <n v="3.8999999999999986"/>
    <n v="3"/>
    <s v="3EDMIBERRECHID"/>
    <n v="3.0216942148760316E-3"/>
    <x v="18"/>
    <s v="Set-up ligne ES10 + recherche bobines"/>
    <x v="0"/>
    <s v="AYOUB"/>
  </r>
  <r>
    <x v="1"/>
    <s v="Bât A"/>
    <d v="2025-12-30T00:00:00"/>
    <x v="4"/>
    <x v="0"/>
    <n v="2025"/>
    <s v="KNIDAR"/>
    <s v="MATIN"/>
    <s v="CMS"/>
    <s v="LIGNE 2"/>
    <s v="EDMI"/>
    <s v="EDMI"/>
    <s v="EDM830-010-107BRTISH"/>
    <d v="1899-12-30T06:00:00"/>
    <d v="1899-12-30T08:20:00"/>
    <n v="2.333333333333333"/>
    <n v="3"/>
    <s v="3EDMIBERRECHID"/>
    <n v="1.8078512396694211E-3"/>
    <x v="33"/>
    <s v="Validation ES10 + recherche bobines"/>
    <x v="2"/>
    <s v="BRAHIM"/>
  </r>
  <r>
    <x v="1"/>
    <s v="Bât A"/>
    <d v="2025-12-30T00:00:00"/>
    <x v="4"/>
    <x v="0"/>
    <n v="2025"/>
    <s v="KNIDAR"/>
    <s v="APM"/>
    <s v="CMS"/>
    <s v="LIGNE 2"/>
    <s v="EDMI"/>
    <s v="EDMI"/>
    <s v="EDM830-010-107BRTISH"/>
    <d v="1899-12-30T14:00:00"/>
    <d v="1899-12-30T14:25:00"/>
    <n v="0.41666666666666519"/>
    <n v="3"/>
    <s v="3EDMIBERRECHID"/>
    <n v="3.2283057851239546E-4"/>
    <x v="18"/>
    <s v="Recherche et changement bobines"/>
    <x v="0"/>
    <s v="MEHDI"/>
  </r>
  <r>
    <x v="1"/>
    <s v="Bât A"/>
    <d v="2025-12-31T00:00:00"/>
    <x v="4"/>
    <x v="0"/>
    <n v="2025"/>
    <s v="KNIDAR"/>
    <s v="NUIT"/>
    <s v="CMS"/>
    <s v="LIGNE 2"/>
    <s v="EDMI"/>
    <s v="EDMI"/>
    <s v="EDM830-010-107BRTISH"/>
    <d v="1899-12-30T22:00:00"/>
    <d v="1899-12-30T23:05:00"/>
    <n v="1.0833333333333348"/>
    <n v="3"/>
    <s v="3EDMIBERRECHID"/>
    <n v="8.393595041322324E-4"/>
    <x v="18"/>
    <s v="Recherche et changement bobines"/>
    <x v="0"/>
    <s v="AYOUB"/>
  </r>
  <r>
    <x v="1"/>
    <s v="Bât A"/>
    <d v="2025-12-31T00:00:00"/>
    <x v="4"/>
    <x v="0"/>
    <n v="2025"/>
    <s v="KHADIM"/>
    <s v="MATIN"/>
    <s v="CMS"/>
    <s v="LIGNE 1"/>
    <s v="SERAP"/>
    <s v="LE RESTE"/>
    <s v="SERRL5B"/>
    <d v="1899-12-30T06:00:00"/>
    <d v="1899-12-30T08:00:00"/>
    <n v="1.9999999999999996"/>
    <n v="2"/>
    <s v="2LE RESTEBERRECHID"/>
    <n v="7.7479338842975187E-4"/>
    <x v="34"/>
    <s v="Blocage du support des tables 3 et 4"/>
    <x v="1"/>
    <s v="ABDELHAMID"/>
  </r>
  <r>
    <x v="1"/>
    <s v="Bât A"/>
    <d v="2025-12-31T00:00:00"/>
    <x v="4"/>
    <x v="0"/>
    <n v="2025"/>
    <s v="KNIDAR"/>
    <s v="MATIN"/>
    <s v="CMS"/>
    <s v="LIGNE 2"/>
    <s v="EDMI"/>
    <s v="EDMI"/>
    <s v="EDM830-010-107BRTISH"/>
    <d v="1899-12-30T06:00:00"/>
    <d v="1899-12-30T07:15:00"/>
    <n v="1.2499999999999996"/>
    <n v="3"/>
    <s v="3EDMIBERRECHID"/>
    <n v="9.6849173553718968E-4"/>
    <x v="18"/>
    <s v="Recherche et changement bobines"/>
    <x v="0"/>
    <s v="DRISS"/>
  </r>
  <r>
    <x v="1"/>
    <s v="Bât B"/>
    <d v="2025-12-31T00:00:00"/>
    <x v="4"/>
    <x v="0"/>
    <n v="2025"/>
    <s v="TARIK"/>
    <s v="MATIN"/>
    <s v="FINITION "/>
    <s v="finition 1/2"/>
    <s v="EDMI"/>
    <s v="EDMI"/>
    <s v="EDM830-013-152"/>
    <d v="1899-12-30T08:35:00"/>
    <d v="1899-12-30T10:20:00"/>
    <n v="1.7500000000000004"/>
    <n v="3"/>
    <s v="3EDMIBERRECHID"/>
    <n v="1.3558884297520662E-3"/>
    <x v="0"/>
    <s v="Manque des PCB ES-12B"/>
    <x v="0"/>
    <s v="ABOUDA"/>
  </r>
  <r>
    <x v="1"/>
    <s v="Bât B"/>
    <d v="2025-12-31T00:00:00"/>
    <x v="4"/>
    <x v="0"/>
    <n v="2025"/>
    <s v="TARIK"/>
    <s v="MATIN"/>
    <s v="TESTEUR BFT"/>
    <s v="Testeur BFT"/>
    <s v="EDMI"/>
    <s v="EDMI"/>
    <s v="EDM830-013-152"/>
    <d v="1899-12-30T06:00:00"/>
    <d v="1899-12-30T08:15:00"/>
    <n v="2.25"/>
    <n v="3"/>
    <s v="3EDMIBERRECHID"/>
    <n v="1.743285123966942E-3"/>
    <x v="35"/>
    <s v="Attente service technique"/>
    <x v="2"/>
    <s v="SAID"/>
  </r>
  <r>
    <x v="1"/>
    <s v="Bât B"/>
    <d v="2025-12-31T00:00:00"/>
    <x v="4"/>
    <x v="0"/>
    <n v="2025"/>
    <s v="TARIK"/>
    <s v="MATIN"/>
    <s v="INTEGRATION"/>
    <s v="integration"/>
    <s v="EDMI"/>
    <s v="EDMI"/>
    <s v="EDMES012BAD-02"/>
    <d v="1899-12-30T06:00:00"/>
    <d v="1899-12-30T08:30:00"/>
    <n v="2.5000000000000004"/>
    <n v="3"/>
    <s v="3EDMIBERRECHID"/>
    <n v="1.9369834710743802E-3"/>
    <x v="36"/>
    <s v="Attente BFT"/>
    <x v="2"/>
    <s v="SAID"/>
  </r>
  <r>
    <x v="1"/>
    <s v="Bât A"/>
    <d v="2025-12-31T00:00:00"/>
    <x v="4"/>
    <x v="0"/>
    <n v="2025"/>
    <s v="ISMAIL"/>
    <s v="MATIN"/>
    <s v="TEST TAKAYA"/>
    <s v="Takaya-9411"/>
    <s v="EMS"/>
    <s v="EMS"/>
    <s v="EMSEJ-244"/>
    <d v="1899-12-30T08:30:00"/>
    <d v="1899-12-30T10:00:00"/>
    <n v="1.5"/>
    <n v="2"/>
    <s v="2EMSBERRECHID"/>
    <n v="2.7892561983471081E-4"/>
    <x v="37"/>
    <s v="Taux faux défaut élevé lié au probe 3"/>
    <x v="1"/>
    <s v="SLIMANE"/>
  </r>
  <r>
    <x v="1"/>
    <s v="Bât B"/>
    <d v="2025-12-31T00:00:00"/>
    <x v="4"/>
    <x v="0"/>
    <n v="2025"/>
    <s v="TARIK"/>
    <s v="MATIN"/>
    <s v="TEST ICT"/>
    <s v="Testeur ICT"/>
    <s v="EDMI"/>
    <s v="EDMI"/>
    <s v="EDM830-013-152"/>
    <d v="1899-12-30T09:20:00"/>
    <d v="1899-12-30T11:00:00"/>
    <n v="1.6666666666666661"/>
    <n v="3"/>
    <s v="3EDMIBERRECHID"/>
    <n v="1.2913223140495862E-3"/>
    <x v="27"/>
    <s v="Débogage programme ICT"/>
    <x v="2"/>
    <s v="SAID"/>
  </r>
  <r>
    <x v="1"/>
    <s v="Bât A"/>
    <d v="2025-12-31T00:00:00"/>
    <x v="4"/>
    <x v="0"/>
    <n v="2025"/>
    <s v="KNIDAR"/>
    <s v="APM"/>
    <s v="CMS"/>
    <s v="LIGNE 2"/>
    <s v="EDMI"/>
    <s v="EDMI"/>
    <s v="EDM830-010-107BRTISH"/>
    <d v="1899-12-30T14:00:00"/>
    <d v="1899-12-30T15:15:00"/>
    <n v="1.2499999999999982"/>
    <n v="3"/>
    <s v="3EDMIBERRECHID"/>
    <n v="9.6849173553718859E-4"/>
    <x v="18"/>
    <s v="Recherche composant + changement bobines + déchargement MSL"/>
    <x v="0"/>
    <s v="ABDERRAHMANE+ZOUHAIR"/>
  </r>
  <r>
    <x v="1"/>
    <s v="Bât B"/>
    <d v="2026-01-01T00:00:00"/>
    <x v="5"/>
    <x v="1"/>
    <n v="2026"/>
    <s v="OUMAIMA"/>
    <s v="NUIT"/>
    <s v=" TEST BFT"/>
    <s v="Testeur BFT"/>
    <s v="EDMI"/>
    <s v="EDMI"/>
    <s v="EDM830-013-152"/>
    <d v="1899-12-30T03:30:00"/>
    <d v="1899-12-30T06:00:00"/>
    <n v="2.5000000000000004"/>
    <n v="3"/>
    <s v="3EDMIBERRECHID"/>
    <n v="1.9369834710743802E-3"/>
    <x v="32"/>
    <s v="Disfonctionnement de (tester application SUFT)"/>
    <x v="2"/>
    <s v="SAID"/>
  </r>
  <r>
    <x v="1"/>
    <s v="Bât B"/>
    <d v="2026-01-01T00:00:00"/>
    <x v="5"/>
    <x v="1"/>
    <n v="2026"/>
    <s v="OUMAIMA"/>
    <s v="NUIT"/>
    <s v="TEST CONFIG"/>
    <s v="Test Config"/>
    <s v="EDMI"/>
    <s v="EDMI"/>
    <s v="EDMES012BAR00"/>
    <d v="1899-12-30T02:00:00"/>
    <d v="1899-12-30T05:00:00"/>
    <n v="3"/>
    <n v="3"/>
    <s v="3EDMIBERRECHID"/>
    <n v="2.3243801652892558E-3"/>
    <x v="33"/>
    <s v="Attente validation sampling + changement de réf"/>
    <x v="2"/>
    <s v="PRODUCTION"/>
  </r>
  <r>
    <x v="1"/>
    <s v="Bât B"/>
    <d v="2026-01-01T00:00:00"/>
    <x v="5"/>
    <x v="1"/>
    <n v="2026"/>
    <s v="TARIK"/>
    <s v="MATIN"/>
    <s v=" TEST BFT"/>
    <s v="Testeur BFT/integration"/>
    <s v="EDMI"/>
    <s v="EDMI"/>
    <s v="EDM830-013-152"/>
    <d v="1899-12-30T06:00:00"/>
    <d v="1899-12-30T08:10:00"/>
    <n v="2.166666666666667"/>
    <n v="3"/>
    <s v="3EDMIBERRECHID"/>
    <n v="1.6787190082644629E-3"/>
    <x v="38"/>
    <s v="Testeur BFT DISPLAY 1 ne fonctionne pas"/>
    <x v="2"/>
    <s v="SAID (À DISTANCE)"/>
  </r>
  <r>
    <x v="1"/>
    <s v="Bât B"/>
    <d v="2026-01-01T00:00:00"/>
    <x v="5"/>
    <x v="1"/>
    <n v="2026"/>
    <s v="TARIK"/>
    <s v="MATIN"/>
    <s v=" TEST BFT"/>
    <s v="laser/config/emballage"/>
    <s v="EDMI"/>
    <s v="EDMI"/>
    <s v="EDMES012BAR00"/>
    <d v="1899-12-30T06:00:00"/>
    <d v="1899-12-30T09:16:00"/>
    <n v="3.2666666666666671"/>
    <n v="3"/>
    <s v="3EDMIBERRECHID"/>
    <n v="2.5309917355371904E-3"/>
    <x v="39"/>
    <s v="Postes config et emballage impactés par arrêt BFT"/>
    <x v="2"/>
    <s v="SAID (À DISTANCE)"/>
  </r>
  <r>
    <x v="1"/>
    <s v="Bât B"/>
    <d v="2026-01-01T00:00:00"/>
    <x v="5"/>
    <x v="1"/>
    <n v="2026"/>
    <s v="OUMAIMA"/>
    <s v="NUIT"/>
    <s v="TEST CONFIG"/>
    <s v="Test Config"/>
    <s v="EDMI"/>
    <s v="EDMI"/>
    <s v="EDMES012BAR00"/>
    <d v="1899-12-30T11:00:00"/>
    <d v="1899-12-30T13:30:00"/>
    <n v="2.5000000000000004"/>
    <n v="3"/>
    <s v="3EDMIBERRECHID"/>
    <n v="1.9369834710743802E-3"/>
    <x v="33"/>
    <s v="Attente validation de sampling"/>
    <x v="2"/>
    <s v="PRODUCTION"/>
  </r>
  <r>
    <x v="1"/>
    <s v="Bât B"/>
    <d v="2026-01-02T00:00:00"/>
    <x v="5"/>
    <x v="1"/>
    <n v="2026"/>
    <s v="TARIK"/>
    <s v="MATIN"/>
    <s v="TEST CONFIG"/>
    <s v="Test Config"/>
    <s v="EDMI"/>
    <s v="EDMI"/>
    <s v="EDMES012BAR01"/>
    <d v="1899-12-30T06:00:00"/>
    <d v="1899-12-30T06:20:00"/>
    <n v="0.33333333333333348"/>
    <n v="3"/>
    <s v="3EDMIBERRECHID"/>
    <n v="2.5826446280991742E-4"/>
    <x v="33"/>
    <s v="Attente validation sampling"/>
    <x v="2"/>
    <s v="PRODUCTION"/>
  </r>
  <r>
    <x v="1"/>
    <s v="Bât B"/>
    <d v="2026-01-02T00:00:00"/>
    <x v="5"/>
    <x v="1"/>
    <n v="2026"/>
    <s v="TARIK"/>
    <s v="MATIN"/>
    <s v=" TEST BFT"/>
    <s v="integration/calibration"/>
    <s v="EDMI"/>
    <s v="EDMI"/>
    <s v="EDMES012BAD-02"/>
    <d v="1899-12-30T08:30:00"/>
    <d v="1899-12-30T10:50:00"/>
    <n v="2.333333333333333"/>
    <n v="3"/>
    <s v="3EDMIBERRECHID"/>
    <n v="1.8078512396694211E-3"/>
    <x v="27"/>
    <s v="Débogage du programme BFT display 2"/>
    <x v="2"/>
    <s v="SAID"/>
  </r>
  <r>
    <x v="1"/>
    <s v="Bât B"/>
    <d v="2026-01-02T00:00:00"/>
    <x v="5"/>
    <x v="1"/>
    <n v="2026"/>
    <s v="OUMAIMA"/>
    <s v="APM"/>
    <s v=" TEST BFT"/>
    <s v="integration/calibration"/>
    <s v="EDMI"/>
    <s v="EDMI"/>
    <s v="EDMES012BAD-02"/>
    <d v="1899-12-30T15:10:00"/>
    <d v="1899-12-30T15:46:00"/>
    <n v="0.60000000000000053"/>
    <n v="3"/>
    <s v="3EDMIBERRECHID"/>
    <n v="4.6487603305785162E-4"/>
    <x v="40"/>
    <s v="Taux de pannes élevé"/>
    <x v="2"/>
    <s v="SAID+AMINE"/>
  </r>
  <r>
    <x v="1"/>
    <s v="Bât B"/>
    <d v="2026-01-02T00:00:00"/>
    <x v="5"/>
    <x v="1"/>
    <n v="2026"/>
    <s v="TARIK"/>
    <s v="APM"/>
    <s v="TEST UFT "/>
    <s v="UFT/:i-pot/calibration"/>
    <s v="EDMI"/>
    <s v="EDMI"/>
    <s v="EDMES012BAD-02"/>
    <d v="1899-12-30T18:50:00"/>
    <d v="1899-12-30T19:30:00"/>
    <n v="0.66666666666666696"/>
    <n v="3"/>
    <s v="3EDMIBERRECHID"/>
    <n v="5.1652892561983483E-4"/>
    <x v="41"/>
    <s v="L'application du testeur UFT ne fonctionne pas"/>
    <x v="2"/>
    <s v="SAID"/>
  </r>
  <r>
    <x v="1"/>
    <s v="Bât A"/>
    <d v="2026-01-04T00:00:00"/>
    <x v="6"/>
    <x v="1"/>
    <n v="2026"/>
    <s v="KNIDAR"/>
    <s v="NUIT"/>
    <s v="CMS"/>
    <s v="LIGNE 2"/>
    <s v="EDMI"/>
    <s v="EDMI"/>
    <s v="EDM830-010-107BRTISH"/>
    <d v="1899-12-30T22:00:00"/>
    <d v="1899-12-30T22:30:00"/>
    <n v="0.50000000000000089"/>
    <n v="3"/>
    <s v="3EDMIBERRECHID"/>
    <n v="3.8739669421487669E-4"/>
    <x v="18"/>
    <s v="Changement bobines + recherche composant"/>
    <x v="0"/>
    <s v="MEHDI"/>
  </r>
  <r>
    <x v="1"/>
    <s v="Bât B"/>
    <d v="2026-01-05T00:00:00"/>
    <x v="6"/>
    <x v="1"/>
    <n v="2026"/>
    <s v="TARIK"/>
    <s v="NUIT"/>
    <s v="TEST ICT"/>
    <s v="Testeur ICT"/>
    <s v="EDMI"/>
    <s v="EDMI"/>
    <s v="EDM830-010-107BRTIS:"/>
    <d v="1899-12-30T22:00:00"/>
    <d v="1899-12-30T06:00:00"/>
    <n v="8"/>
    <n v="3"/>
    <s v="3EDMIBERRECHID"/>
    <n v="6.1983471074380158E-3"/>
    <x v="42"/>
    <s v="Problème humidité ICT "/>
    <x v="1"/>
    <s v="SLIMANE/BATAR"/>
  </r>
  <r>
    <x v="1"/>
    <s v="Bât B"/>
    <d v="2026-01-05T00:00:00"/>
    <x v="6"/>
    <x v="1"/>
    <n v="2026"/>
    <s v="SALAH"/>
    <s v="MATIN"/>
    <s v=" TEST BFT"/>
    <s v="Testeur BFT/DISPLAY 2"/>
    <s v="EDMI"/>
    <s v="EDMI"/>
    <s v="EDMES012BAD-02"/>
    <d v="1899-12-30T09:25:00"/>
    <d v="1899-12-30T10:26:00"/>
    <n v="1.0166666666666671"/>
    <n v="3"/>
    <s v="3EDMIBERRECHID"/>
    <n v="7.8770661157024811E-4"/>
    <x v="43"/>
    <s v="Tuyau air dégradé"/>
    <x v="1"/>
    <s v="SLIMANE"/>
  </r>
  <r>
    <x v="1"/>
    <s v="Bât B"/>
    <d v="2026-01-05T00:00:00"/>
    <x v="6"/>
    <x v="1"/>
    <n v="2026"/>
    <s v="SALAH"/>
    <s v="MATIN"/>
    <s v=" TEST BFT"/>
    <s v="INTEGRATION/UFT"/>
    <s v="EDMI"/>
    <s v="EDMI"/>
    <s v="EDMES012BAD-02"/>
    <d v="1899-12-30T10:20:00"/>
    <d v="1899-12-30T10:40:00"/>
    <n v="0.33333333333333215"/>
    <n v="3"/>
    <s v="3EDMIBERRECHID"/>
    <n v="2.5826446280991644E-4"/>
    <x v="44"/>
    <s v="Attente démarrage BFT"/>
    <x v="1"/>
    <s v="SLIMANE"/>
  </r>
  <r>
    <x v="1"/>
    <s v="Bât B"/>
    <d v="2026-01-05T00:00:00"/>
    <x v="6"/>
    <x v="1"/>
    <n v="2026"/>
    <s v="SALAH"/>
    <s v="MATIN"/>
    <s v="TEST ICT"/>
    <s v="Testeur ICT"/>
    <s v="EDMI"/>
    <s v="EDMI"/>
    <s v="EDM830-010-107BRTIS:"/>
    <d v="1899-12-30T06:00:00"/>
    <d v="1899-12-30T11:20:00"/>
    <n v="5.333333333333333"/>
    <n v="3"/>
    <s v="3EDMIBERRECHID"/>
    <n v="4.1322314049586769E-3"/>
    <x v="45"/>
    <s v="Test ICT en panne"/>
    <x v="1"/>
    <s v="SLIMANE"/>
  </r>
  <r>
    <x v="1"/>
    <s v="Bât B"/>
    <d v="2026-01-05T00:00:00"/>
    <x v="6"/>
    <x v="1"/>
    <n v="2026"/>
    <s v="SALAH"/>
    <s v="MATIN"/>
    <s v="POSTE LASER "/>
    <s v="Poste Laser "/>
    <s v="EDMI"/>
    <s v="EDMI"/>
    <s v="EDMES012BAXBA"/>
    <d v="1899-12-30T06:00:00"/>
    <d v="1899-12-30T12:40:00"/>
    <n v="6.666666666666667"/>
    <n v="3"/>
    <s v="3EDMIBERRECHID"/>
    <n v="5.1652892561983464E-3"/>
    <x v="33"/>
    <s v="Attent validation nouvelle reference 12B"/>
    <x v="2"/>
    <s v="ADAM"/>
  </r>
  <r>
    <x v="1"/>
    <s v="Bât B"/>
    <d v="2026-01-05T00:00:00"/>
    <x v="6"/>
    <x v="1"/>
    <n v="2026"/>
    <s v="SALAH"/>
    <s v="MATIN"/>
    <s v="TEST CONFIG"/>
    <s v="Test Config"/>
    <s v="EDMI"/>
    <s v="EDMI"/>
    <s v="EDMES012BAXBA"/>
    <d v="1899-12-30T06:00:00"/>
    <d v="1899-12-30T13:40:00"/>
    <n v="7.6666666666666661"/>
    <n v="3"/>
    <s v="3EDMIBERRECHID"/>
    <n v="5.9400826446280985E-3"/>
    <x v="33"/>
    <s v="Attent validation nouvelle reference 12B"/>
    <x v="2"/>
    <s v="SAID"/>
  </r>
  <r>
    <x v="1"/>
    <s v="Bât B"/>
    <d v="2026-01-05T00:00:00"/>
    <x v="6"/>
    <x v="1"/>
    <n v="2026"/>
    <s v="OUMAIMA"/>
    <s v="APM"/>
    <s v="POSTE LASER "/>
    <s v="Poste Laser "/>
    <s v="EDMI"/>
    <s v="EDMI"/>
    <s v="EDMES012BAXBA"/>
    <d v="1899-12-30T21:00:00"/>
    <d v="1899-12-30T22:00:00"/>
    <n v="0.99999999999999911"/>
    <n v="3"/>
    <s v="3EDMIBERRECHID"/>
    <n v="7.7479338842975133E-4"/>
    <x v="18"/>
    <s v="Basculement de reference 12B à 10B"/>
    <x v="0"/>
    <s v="HOUSSAM"/>
  </r>
  <r>
    <x v="1"/>
    <s v="Bât A"/>
    <d v="2026-01-05T00:00:00"/>
    <x v="6"/>
    <x v="1"/>
    <n v="2026"/>
    <s v="ISMAIL"/>
    <s v="APM"/>
    <s v="TEST TAKAYA"/>
    <s v="Takaya-9400"/>
    <s v="LE RESTE"/>
    <s v="LE RESTE"/>
    <s v="GRE619188870-R"/>
    <d v="1899-12-30T20:54:00"/>
    <d v="1899-12-30T22:00:00"/>
    <n v="1.0999999999999988"/>
    <n v="2"/>
    <s v="2LE RESTEBERRECHID"/>
    <n v="4.2613636363636313E-4"/>
    <x v="46"/>
    <s v="Courroie du convoyeur sortie (Arrets Réccurents)"/>
    <x v="1"/>
    <s v="LAHMIDI DRISS"/>
  </r>
  <r>
    <x v="1"/>
    <s v="Bât A"/>
    <d v="2026-01-06T00:00:00"/>
    <x v="6"/>
    <x v="1"/>
    <n v="2026"/>
    <s v="ISMAIL"/>
    <s v="MATIN"/>
    <s v="TEST TAKAYA"/>
    <s v="Takaya-9400"/>
    <s v="LE RESTE"/>
    <s v="LE RESTE"/>
    <s v="GRE619188870-R"/>
    <d v="1899-12-30T06:00:00"/>
    <d v="1899-12-30T06:45:00"/>
    <n v="0.75"/>
    <n v="2"/>
    <s v="2LE RESTEBERRECHID"/>
    <n v="2.9054752066115698E-4"/>
    <x v="46"/>
    <s v="Courroie du convoyeur sortie (Arrets Réccurents)"/>
    <x v="1"/>
    <s v="LAHMIDI DRISS"/>
  </r>
  <r>
    <x v="1"/>
    <s v="Bât B"/>
    <d v="2026-01-06T00:00:00"/>
    <x v="6"/>
    <x v="1"/>
    <n v="2026"/>
    <s v="TARIK"/>
    <s v="NUIT"/>
    <s v="TEST CONFIG"/>
    <s v="Test Config"/>
    <s v="EDMI"/>
    <s v="EDMI"/>
    <s v="EDMES010BAU10"/>
    <d v="1899-12-30T22:40:00"/>
    <d v="1899-12-30T02:40:00"/>
    <n v="4"/>
    <n v="3"/>
    <s v="3EDMIBERRECHID"/>
    <n v="3.0991735537190079E-3"/>
    <x v="47"/>
    <s v="Attente integration et sampling"/>
    <x v="2"/>
    <s v=""/>
  </r>
  <r>
    <x v="1"/>
    <s v="Bât B"/>
    <d v="2026-01-06T00:00:00"/>
    <x v="6"/>
    <x v="1"/>
    <n v="2026"/>
    <s v="TARIK"/>
    <s v="NUIT"/>
    <s v="TEST CONFIG"/>
    <s v="Test Config"/>
    <s v="EDMI"/>
    <s v="EDMI"/>
    <s v="EDMES010BAU10"/>
    <d v="1899-12-30T05:00:00"/>
    <d v="1899-12-30T06:00:00"/>
    <n v="0.99999999999999978"/>
    <n v="3"/>
    <s v="3EDMIBERRECHID"/>
    <n v="7.7479338842975187E-4"/>
    <x v="47"/>
    <s v="Attente sampling"/>
    <x v="2"/>
    <s v=""/>
  </r>
  <r>
    <x v="1"/>
    <s v="Bât A"/>
    <d v="2026-01-05T00:00:00"/>
    <x v="6"/>
    <x v="1"/>
    <n v="2026"/>
    <s v="KNIDAR"/>
    <s v="NUIT"/>
    <s v="CMS"/>
    <s v="LIGNE2"/>
    <s v="EDMI"/>
    <s v="EDMI"/>
    <s v="EDM830-010-107BRTISH"/>
    <d v="1899-12-30T22:00:00"/>
    <d v="1899-12-30T23:00:00"/>
    <n v="1.0000000000000018"/>
    <n v="3"/>
    <s v="3EDMIBERRECHID"/>
    <n v="7.7479338842975339E-4"/>
    <x v="48"/>
    <s v="Coupure électrique (1 heure : 22h à 23h)"/>
    <x v="1"/>
    <s v="ABDELHAMID/BATAR"/>
  </r>
  <r>
    <x v="1"/>
    <s v="Bât A"/>
    <d v="2026-01-05T00:00:00"/>
    <x v="6"/>
    <x v="1"/>
    <n v="2026"/>
    <s v="KNIDAR"/>
    <s v="NUIT"/>
    <s v="CMS"/>
    <s v="LIGNE2"/>
    <s v="EDMI"/>
    <s v="EDMI"/>
    <s v="EDM830-010-107BRTISH"/>
    <d v="1899-12-30T02:45:00"/>
    <d v="1899-12-30T03:15:00"/>
    <n v="0.49999999999999989"/>
    <n v="3"/>
    <s v="3EDMIBERRECHID"/>
    <n v="3.8739669421487594E-4"/>
    <x v="49"/>
    <s v="Problème communication lié au réseau"/>
    <x v="3"/>
    <s v="AYOUB"/>
  </r>
  <r>
    <x v="1"/>
    <s v="Bât B"/>
    <d v="2026-01-07T00:00:00"/>
    <x v="6"/>
    <x v="1"/>
    <n v="2026"/>
    <s v="TARIK"/>
    <s v="NUIT"/>
    <s v="FINITION "/>
    <s v="Finition"/>
    <s v="EDMI"/>
    <s v="EDMI"/>
    <s v="EDM830-010-107BRTIS:"/>
    <d v="1899-12-30T01:50:00"/>
    <d v="1899-12-30T06:00:00"/>
    <n v="4.1666666666666661"/>
    <n v="3"/>
    <s v="3EDMIBERRECHID"/>
    <n v="3.2283057851239662E-3"/>
    <x v="0"/>
    <s v="Manque composant : EDM820-00017 (afficheur)"/>
    <x v="0"/>
    <s v="BOUDRA "/>
  </r>
  <r>
    <x v="1"/>
    <s v="Bât A"/>
    <d v="2026-01-07T00:00:00"/>
    <x v="6"/>
    <x v="1"/>
    <n v="2026"/>
    <s v="KNIDAR"/>
    <s v="NUIT"/>
    <s v="CMS"/>
    <s v="LIGNE2"/>
    <s v="EDMI"/>
    <s v="EDMI"/>
    <s v="EDM830-010-107BRTISH"/>
    <d v="1899-12-30T22:00:00"/>
    <d v="1899-12-30T22:25:00"/>
    <n v="0.41666666666666785"/>
    <n v="3"/>
    <s v="3EDMIBERRECHID"/>
    <n v="3.2283057851239757E-4"/>
    <x v="18"/>
    <s v="Changement bobines + recherche + manque composant"/>
    <x v="0"/>
    <s v="MEHDI"/>
  </r>
  <r>
    <x v="1"/>
    <s v="Bât A"/>
    <d v="2026-01-07T00:00:00"/>
    <x v="6"/>
    <x v="1"/>
    <n v="2026"/>
    <s v="KNIDAR"/>
    <s v="MATIN"/>
    <s v="CMS"/>
    <s v="LIGNE2"/>
    <s v="EDMI"/>
    <s v="EDMI"/>
    <s v="EDM830-010-107BRTISH"/>
    <d v="1899-12-30T06:00:00"/>
    <d v="1899-12-30T06:15:00"/>
    <n v="0.25000000000000044"/>
    <n v="3"/>
    <s v="3EDMIBERRECHID"/>
    <n v="1.9369834710743835E-4"/>
    <x v="18"/>
    <s v="Changement bobines + recherche + manque composant"/>
    <x v="0"/>
    <s v="JADYANI "/>
  </r>
  <r>
    <x v="1"/>
    <s v="Bât A"/>
    <d v="2026-01-07T00:00:00"/>
    <x v="6"/>
    <x v="1"/>
    <n v="2026"/>
    <s v="KNIDAR"/>
    <s v="APM"/>
    <s v="CMS"/>
    <s v="LIGNE2"/>
    <s v="EDMI"/>
    <s v="EDMI"/>
    <s v="EDM830-010-107BRTISH"/>
    <d v="1899-12-30T14:00:00"/>
    <d v="1899-12-30T22:00:00"/>
    <n v="7.9999999999999982"/>
    <n v="3"/>
    <s v="3EDMIBERRECHID"/>
    <n v="6.198347107438015E-3"/>
    <x v="18"/>
    <s v="Recherche composants + changement + pilote en formation"/>
    <x v="0"/>
    <s v="YOUNESS"/>
  </r>
  <r>
    <x v="1"/>
    <s v="Bât A"/>
    <d v="2026-01-08T00:00:00"/>
    <x v="6"/>
    <x v="1"/>
    <n v="2026"/>
    <s v="KNIDAR"/>
    <s v="MATIN"/>
    <s v="CMS"/>
    <s v="LIGNE2"/>
    <s v="EDMI"/>
    <s v="EDMI"/>
    <s v="EDM830-010-107BRTISH"/>
    <d v="1899-12-30T06:00:00"/>
    <d v="1899-12-30T14:00:00"/>
    <n v="8"/>
    <n v="3"/>
    <s v="3EDMIBERRECHID"/>
    <n v="6.1983471074380158E-3"/>
    <x v="18"/>
    <s v="Recherche composants + changement + manque composant"/>
    <x v="0"/>
    <s v="MEHDI"/>
  </r>
  <r>
    <x v="0"/>
    <s v="TEM"/>
    <d v="2026-01-06T00:00:00"/>
    <x v="6"/>
    <x v="1"/>
    <n v="2026"/>
    <s v="SAMIRA"/>
    <s v="NORMALE"/>
    <s v="CÂBALGE"/>
    <s v="Câbalge"/>
    <s v="LECLANCHÉ"/>
    <s v="LECLANCHÉ"/>
    <s v="NA"/>
    <d v="1899-12-30T13:00:00"/>
    <d v="1899-12-30T18:00:00"/>
    <n v="5.0000000000000142"/>
    <n v="1"/>
    <s v="1LECLANCHÉTEMARA"/>
    <n v="4.1592590812992627E-3"/>
    <x v="50"/>
    <s v="Visite CAF - Rangement 5S"/>
    <x v="6"/>
    <s v="SAMIRA"/>
  </r>
  <r>
    <x v="0"/>
    <s v="TEM"/>
    <d v="2026-01-06T00:00:00"/>
    <x v="6"/>
    <x v="1"/>
    <n v="2026"/>
    <s v="DAHAB"/>
    <s v="NORMALE"/>
    <s v="TEST"/>
    <s v="Test"/>
    <s v="ABB"/>
    <s v="ABB"/>
    <s v="NA"/>
    <d v="1899-12-30T14:00:00"/>
    <d v="1899-12-30T18:00:00"/>
    <n v="3.9999999999999858"/>
    <n v="1"/>
    <s v="1ABBTEMARA"/>
    <n v="6.9701374207187918E-3"/>
    <x v="51"/>
    <s v="Déplacement d'atelier"/>
    <x v="6"/>
    <s v="SOUFIANE/_x000a_NAWFEL"/>
  </r>
  <r>
    <x v="0"/>
    <s v="TEM"/>
    <d v="2026-01-06T00:00:00"/>
    <x v="6"/>
    <x v="1"/>
    <n v="2026"/>
    <s v="DAHAB"/>
    <s v="NORMALE"/>
    <s v="PRÉPARATION"/>
    <s v="Preparation hors carte"/>
    <s v="ABB"/>
    <s v="ABB"/>
    <s v="NA"/>
    <d v="1899-12-30T14:00:00"/>
    <d v="1899-12-30T16:00:00"/>
    <n v="1.9999999999999716"/>
    <n v="1"/>
    <s v="1ABBTEMARA"/>
    <n v="3.4850687103593586E-3"/>
    <x v="51"/>
    <s v="Déplacement d'atelier"/>
    <x v="6"/>
    <s v="SOUFIANE/_x000a_NAWFEL"/>
  </r>
  <r>
    <x v="0"/>
    <s v="TEM"/>
    <d v="2026-01-07T00:00:00"/>
    <x v="6"/>
    <x v="1"/>
    <n v="2026"/>
    <s v="DAHAB"/>
    <s v="NORMALE"/>
    <s v="TEST"/>
    <s v="test diélectrique_x000a_(T4676-01)"/>
    <s v="ABB"/>
    <s v="ABB"/>
    <s v="NA"/>
    <d v="1899-12-30T10:00:00"/>
    <d v="1899-12-30T18:00:00"/>
    <n v="8.0000000000000142"/>
    <n v="1"/>
    <s v="1ABBTEMARA"/>
    <n v="1.3940274841437656E-2"/>
    <x v="51"/>
    <s v="Déplacement d'atelier"/>
    <x v="6"/>
    <s v="SOUFIANE/_x000a_NAWFEL"/>
  </r>
  <r>
    <x v="0"/>
    <s v="TEM"/>
    <d v="2026-01-07T00:00:00"/>
    <x v="6"/>
    <x v="1"/>
    <n v="2026"/>
    <s v="DAHAB"/>
    <s v="NORMALE"/>
    <s v="BRASAGE"/>
    <s v="Brasage"/>
    <s v="ABB"/>
    <s v="ABB"/>
    <s v="NA"/>
    <d v="1899-12-30T13:20:00"/>
    <d v="1899-12-30T18:00:00"/>
    <n v="4.6666666666666714"/>
    <n v="1"/>
    <s v="1ABBTEMARA"/>
    <n v="8.1318269908386264E-3"/>
    <x v="50"/>
    <s v="Visite CAF - Rangement 5S"/>
    <x v="6"/>
    <s v="DAHAB"/>
  </r>
  <r>
    <x v="0"/>
    <s v="TEM"/>
    <d v="2026-01-07T00:00:00"/>
    <x v="6"/>
    <x v="1"/>
    <n v="2026"/>
    <s v="DAHAB"/>
    <s v="NORMALE"/>
    <s v="FERMETURE"/>
    <s v="Fermeture"/>
    <s v="ABB"/>
    <s v="ABB"/>
    <s v="NA"/>
    <d v="1899-12-30T13:20:00"/>
    <d v="1899-12-30T18:00:00"/>
    <n v="4.6666666666666714"/>
    <n v="1"/>
    <s v="1ABBTEMARA"/>
    <n v="8.1318269908386264E-3"/>
    <x v="50"/>
    <s v="Visite CAF - Rangement 5S"/>
    <x v="6"/>
    <s v="DAHAB"/>
  </r>
  <r>
    <x v="0"/>
    <s v="TEM"/>
    <d v="2026-01-07T00:00:00"/>
    <x v="6"/>
    <x v="1"/>
    <n v="2026"/>
    <s v="DAHAB"/>
    <s v="NORMALE"/>
    <s v="TOMPGRAPHIE"/>
    <s v="Tompgraphie"/>
    <s v="ABB"/>
    <s v="ABB"/>
    <s v="NA"/>
    <d v="1899-12-30T13:20:00"/>
    <d v="1899-12-30T18:00:00"/>
    <n v="4.6666666666666714"/>
    <n v="1"/>
    <s v="1ABBTEMARA"/>
    <n v="8.1318269908386264E-3"/>
    <x v="50"/>
    <s v="Visite CAF - Rangement 5S"/>
    <x v="6"/>
    <s v="DAHAB"/>
  </r>
  <r>
    <x v="0"/>
    <s v="TEM"/>
    <d v="2026-01-07T00:00:00"/>
    <x v="6"/>
    <x v="1"/>
    <n v="2026"/>
    <s v="DAHAB"/>
    <s v="NORMALE"/>
    <s v="TEST"/>
    <s v="Test"/>
    <s v="ABB"/>
    <s v="ABB"/>
    <s v="NA"/>
    <d v="1899-12-30T13:20:00"/>
    <d v="1899-12-30T18:00:00"/>
    <n v="4.6666666666666714"/>
    <n v="1"/>
    <s v="1ABBTEMARA"/>
    <n v="8.1318269908386264E-3"/>
    <x v="50"/>
    <s v="Visite CAF - Rangement 5S"/>
    <x v="6"/>
    <s v="DAHAB"/>
  </r>
  <r>
    <x v="0"/>
    <s v="TEM"/>
    <d v="2026-01-08T00:00:00"/>
    <x v="6"/>
    <x v="1"/>
    <n v="2026"/>
    <s v="DAHAB"/>
    <s v="NORMALE"/>
    <s v="TEST"/>
    <s v="test diélectrique_x000a_(T4676-01)"/>
    <s v="ABB"/>
    <s v="ABB"/>
    <n v="5012"/>
    <d v="1899-12-30T09:00:00"/>
    <d v="1899-12-30T18:00:00"/>
    <n v="9"/>
    <n v="1"/>
    <s v="1ABBTEMARA"/>
    <n v="1.5682809196617336E-2"/>
    <x v="14"/>
    <s v="Problème d'alimentation sur le banc de test déilectrique"/>
    <x v="1"/>
    <s v="ANAS/_x000a_NAWFEL"/>
  </r>
  <r>
    <x v="0"/>
    <s v="TEM"/>
    <d v="2026-01-07T00:00:00"/>
    <x v="6"/>
    <x v="1"/>
    <n v="2026"/>
    <s v="BADIA"/>
    <s v="NORMALE "/>
    <s v="MONTAGE INTEGRATION"/>
    <s v="Montage integration"/>
    <s v="RATIER- MERCK HORIBA"/>
    <s v="LE RESTE"/>
    <s v="NA"/>
    <d v="1899-12-30T13:00:00"/>
    <d v="1899-12-30T18:00:00"/>
    <n v="5.0000000000000009"/>
    <n v="1"/>
    <s v="1LE RESTETEMARA"/>
    <n v="1.0841101287718624E-2"/>
    <x v="50"/>
    <s v="Visite CAF - Rangement 5S"/>
    <x v="6"/>
    <s v="BADIA"/>
  </r>
  <r>
    <x v="0"/>
    <s v="TEM"/>
    <d v="2026-01-08T00:00:00"/>
    <x v="6"/>
    <x v="1"/>
    <n v="2026"/>
    <s v="BADIA "/>
    <s v="NORMALE "/>
    <s v="MONTAGE INTEGRATION"/>
    <s v="Montage integration"/>
    <s v="SOLUSCOPE"/>
    <s v="SOLUSCOPE"/>
    <s v="NA"/>
    <d v="1899-12-30T13:00:00"/>
    <d v="1899-12-30T18:00:00"/>
    <n v="5.0000000000000009"/>
    <n v="1"/>
    <s v="1SOLUSCOPETEMARA"/>
    <n v="9.5723020372861828E-4"/>
    <x v="50"/>
    <s v="Visite CAF - Rangement 5S"/>
    <x v="6"/>
    <s v="BADIA"/>
  </r>
  <r>
    <x v="0"/>
    <s v="TEM"/>
    <d v="2026-01-08T00:00:00"/>
    <x v="6"/>
    <x v="1"/>
    <n v="2026"/>
    <s v="DAHAB"/>
    <s v="NORMALE"/>
    <s v="BRASAGE"/>
    <s v="Brasage"/>
    <s v="ABB"/>
    <s v="ABB"/>
    <s v="NA"/>
    <d v="1899-12-30T08:30:00"/>
    <d v="1899-12-30T09:30:00"/>
    <n v="1.0000000000000004"/>
    <n v="1"/>
    <s v="1ABBTEMARA"/>
    <n v="1.7425343551797049E-3"/>
    <x v="52"/>
    <s v="Arrêt postes (manque boutons ESD et alimentation)"/>
    <x v="1"/>
    <s v="ANAS/_x000a_NAWFEL"/>
  </r>
  <r>
    <x v="1"/>
    <s v="Bât A"/>
    <d v="2026-01-08T00:00:00"/>
    <x v="6"/>
    <x v="1"/>
    <n v="2026"/>
    <s v="ISMAIL"/>
    <s v="MATIN "/>
    <s v="TEST FONCTIONNEL"/>
    <s v="Programmation carte _x000a_EMSEJ-099B/B"/>
    <s v="EMS"/>
    <s v="EMS"/>
    <s v="EMSEJ-099B/B"/>
    <d v="1899-12-30T14:00:00"/>
    <d v="1899-12-30T15:00:00"/>
    <n v="0.99999999999999911"/>
    <n v="2"/>
    <s v="2EMSBERRECHID"/>
    <n v="1.8595041322314035E-4"/>
    <x v="53"/>
    <s v="Programmer supply voltage is out of valid range"/>
    <x v="2"/>
    <s v="ILHAM"/>
  </r>
  <r>
    <x v="1"/>
    <s v="Bât A"/>
    <d v="2026-01-08T00:00:00"/>
    <x v="6"/>
    <x v="1"/>
    <n v="2026"/>
    <s v="KNIDAR"/>
    <s v="APM"/>
    <s v="CMS"/>
    <s v="LIGNE2"/>
    <s v="EDMI"/>
    <s v="EDMI"/>
    <s v="EDM830-010-107BRTISH"/>
    <d v="1899-12-30T14:00:00"/>
    <d v="1899-12-30T16:00:00"/>
    <n v="1.9999999999999982"/>
    <n v="3"/>
    <s v="3EDMIBERRECHID"/>
    <n v="1.5495867768595027E-3"/>
    <x v="0"/>
    <s v="Manque du composant EDM180-00612"/>
    <x v="0"/>
    <s v="BOUDRA"/>
  </r>
  <r>
    <x v="1"/>
    <s v="Bât A"/>
    <d v="2026-01-08T00:00:00"/>
    <x v="6"/>
    <x v="1"/>
    <n v="2026"/>
    <s v="ISMAIL"/>
    <s v="APM"/>
    <s v="TEST TAKAYA"/>
    <s v="Takaya-9400"/>
    <s v="EMS"/>
    <s v="EMS"/>
    <s v="DEBEJ-184A"/>
    <d v="1899-12-30T21:20:00"/>
    <d v="1899-12-30T22:00:00"/>
    <n v="0.66666666666666696"/>
    <n v="2"/>
    <s v="2EMSBERRECHID"/>
    <n v="1.2396694214876041E-4"/>
    <x v="54"/>
    <s v="Accident maintenance (chute) causant coupure électricité"/>
    <x v="1"/>
    <s v="SOUS TRAITANCE"/>
  </r>
  <r>
    <x v="1"/>
    <s v="Bât A"/>
    <d v="2026-01-09T00:00:00"/>
    <x v="6"/>
    <x v="1"/>
    <n v="2026"/>
    <s v="ISMAIL"/>
    <s v="MATIN "/>
    <s v="TEST FONCTIONNEL"/>
    <s v="Programmation carte _x000a_EMSEJ-099B/B"/>
    <s v="EMS"/>
    <s v="EMS"/>
    <s v="EMSEJ-099B/B"/>
    <d v="1899-12-30T07:00:00"/>
    <d v="1899-12-30T08:30:00"/>
    <n v="1.5"/>
    <n v="2"/>
    <s v="2EMSBERRECHID"/>
    <n v="2.7892561983471081E-4"/>
    <x v="53"/>
    <s v="Programmer supply voltage is out of valid range"/>
    <x v="2"/>
    <s v="ILHAM"/>
  </r>
  <r>
    <x v="1"/>
    <s v="Bât A"/>
    <d v="2026-01-09T00:00:00"/>
    <x v="6"/>
    <x v="1"/>
    <n v="2026"/>
    <s v="KNIDAR"/>
    <s v="NUIT"/>
    <s v="CMS"/>
    <s v="LIGNE2"/>
    <s v="EDMI"/>
    <s v="EDMI"/>
    <s v="EDM830-010-107BRTISH"/>
    <d v="1899-12-30T22:00:00"/>
    <d v="1899-12-30T01:48:00"/>
    <n v="3.8000000000000007"/>
    <n v="3"/>
    <s v="3EDMIBERRECHID"/>
    <n v="2.9442148760330583E-3"/>
    <x v="52"/>
    <s v="Déchargement EDMI-BRITCH + chargement 12B (mq feeders)"/>
    <x v="0"/>
    <s v="AYOUB/FARAH"/>
  </r>
  <r>
    <x v="1"/>
    <s v="Bât A"/>
    <d v="2026-01-09T00:00:00"/>
    <x v="6"/>
    <x v="1"/>
    <n v="2026"/>
    <s v="KNIDAR"/>
    <s v="MATIN"/>
    <s v="CMS"/>
    <s v="LIGNE2"/>
    <s v="EDMI"/>
    <s v="EDMI"/>
    <s v="EDM830-013-152"/>
    <d v="1899-12-30T06:00:00"/>
    <d v="1899-12-30T12:00:00"/>
    <n v="6"/>
    <n v="3"/>
    <s v="3EDMIBERRECHID"/>
    <n v="4.6487603305785117E-3"/>
    <x v="18"/>
    <s v="Basculement ES12B (Setup complet : DEK, feeders, buses...)"/>
    <x v="0"/>
    <s v="HOUSSAM"/>
  </r>
  <r>
    <x v="1"/>
    <s v="Bât A"/>
    <d v="2026-01-09T00:00:00"/>
    <x v="6"/>
    <x v="1"/>
    <n v="2026"/>
    <s v="KNIDAR"/>
    <s v="APM"/>
    <s v="CMS"/>
    <s v="LIGNE2"/>
    <s v="EDMI"/>
    <s v="EDMI"/>
    <s v="EDM830-013-152"/>
    <d v="1899-12-30T14:00:00"/>
    <d v="1899-12-30T14:35:00"/>
    <n v="0.58333333333333126"/>
    <n v="3"/>
    <s v="3EDMIBERRECHID"/>
    <n v="4.519628099173537E-4"/>
    <x v="18"/>
    <s v="Recherche + changement bobines (manque séquenceur)"/>
    <x v="0"/>
    <s v="ABDERRAHMANE"/>
  </r>
  <r>
    <x v="1"/>
    <s v="Bât A"/>
    <d v="2026-01-10T00:00:00"/>
    <x v="6"/>
    <x v="1"/>
    <n v="2026"/>
    <s v="KNIDAR"/>
    <s v="NIUT"/>
    <s v="CMS"/>
    <s v="LIGNE2"/>
    <s v="EDMI"/>
    <s v="EDMI"/>
    <s v="EDM830-013-152"/>
    <d v="1899-12-30T22:00:00"/>
    <d v="1899-12-30T23:00:00"/>
    <n v="1.0000000000000018"/>
    <n v="3"/>
    <s v="3EDMIBERRECHID"/>
    <n v="7.7479338842975339E-4"/>
    <x v="18"/>
    <s v="Recherche + changement bobines (manque séquenceur)"/>
    <x v="0"/>
    <s v="MEHDI"/>
  </r>
  <r>
    <x v="1"/>
    <s v="Bât A"/>
    <d v="2026-01-10T00:00:00"/>
    <x v="6"/>
    <x v="1"/>
    <n v="2026"/>
    <s v="KNIDAR"/>
    <s v="MATIN"/>
    <s v="CMS"/>
    <s v="LIGNE2"/>
    <s v="EDMI"/>
    <s v="EDMI"/>
    <s v="EDM830-010-107BRTISH"/>
    <d v="1899-12-30T06:00:00"/>
    <d v="1899-12-30T12:00:00"/>
    <n v="6"/>
    <n v="3"/>
    <s v="3EDMIBERRECHID"/>
    <n v="4.6487603305785117E-3"/>
    <x v="18"/>
    <s v="Basculement EDMI-BRTISH (Planification)"/>
    <x v="0"/>
    <s v="HOUSSAM"/>
  </r>
  <r>
    <x v="0"/>
    <s v="TEM"/>
    <d v="2026-01-09T00:00:00"/>
    <x v="6"/>
    <x v="1"/>
    <n v="2026"/>
    <s v="DAHAB"/>
    <s v="NORMALE"/>
    <s v="TEST"/>
    <s v="test diélectrique_x000a_(T4676-01)"/>
    <s v="ABB"/>
    <s v="ABB"/>
    <n v="5012"/>
    <d v="1899-12-30T08:30:00"/>
    <d v="1899-12-30T17:10:12"/>
    <n v="8.67"/>
    <n v="1"/>
    <s v="1ABBTEMARA"/>
    <n v="1.5107772859408033E-2"/>
    <x v="14"/>
    <s v="Problème d'alimentation sur le banc de test diélectrique"/>
    <x v="1"/>
    <s v="ANAS/_x000a_NAWFEL"/>
  </r>
  <r>
    <x v="0"/>
    <s v="TEM"/>
    <d v="2026-01-09T00:00:00"/>
    <x v="6"/>
    <x v="1"/>
    <n v="2026"/>
    <s v="DAHAB"/>
    <s v="NORMALE"/>
    <s v="TEST"/>
    <s v="Test fonctionnel_x000a_(T4675-01)"/>
    <s v="ABB"/>
    <s v="ABB"/>
    <n v="5012"/>
    <d v="1899-12-30T09:30:00"/>
    <d v="1899-12-30T15:30:00"/>
    <n v="6"/>
    <n v="1"/>
    <s v="1ABBTEMARA"/>
    <n v="1.0455206131078223E-2"/>
    <x v="55"/>
    <s v="Corruption du fichier source (** .seq**)"/>
    <x v="2"/>
    <s v="ANAS"/>
  </r>
  <r>
    <x v="1"/>
    <s v="Bât B"/>
    <d v="2026-01-12T00:00:00"/>
    <x v="7"/>
    <x v="1"/>
    <n v="2026"/>
    <s v="SALAH"/>
    <s v="NUIT"/>
    <s v="TESTEUR BFT"/>
    <s v="BFT"/>
    <s v="EDMI"/>
    <s v="EDMI"/>
    <s v="EDM830-010-107BRTISH"/>
    <d v="1899-12-30T22:00:00"/>
    <d v="1899-12-30T22:30:00"/>
    <n v="0.50000000000000089"/>
    <n v="3"/>
    <s v="3EDMIBERRECHID"/>
    <n v="3.8739669421487669E-4"/>
    <x v="56"/>
    <s v="Erreur configuration"/>
    <x v="2"/>
    <s v="SAID"/>
  </r>
  <r>
    <x v="1"/>
    <s v="Bât A"/>
    <d v="2026-01-12T00:00:00"/>
    <x v="7"/>
    <x v="1"/>
    <n v="2026"/>
    <s v="KNIDAR"/>
    <s v="NUIT"/>
    <s v="CMS"/>
    <s v="LIGNE 2"/>
    <s v="EDMI"/>
    <s v="EDMI"/>
    <s v="EDM830-010-107BRTISH"/>
    <d v="1899-12-30T22:00:00"/>
    <d v="1899-12-30T23:20:00"/>
    <n v="1.3333333333333339"/>
    <n v="3"/>
    <s v="3EDMIBERRECHID"/>
    <n v="1.0330578512396697E-3"/>
    <x v="57"/>
    <s v="Problème COGISCAN (étiquette non configurée) 1H20"/>
    <x v="2"/>
    <s v="ADAM"/>
  </r>
  <r>
    <x v="1"/>
    <s v="Bât A"/>
    <d v="2026-01-12T00:00:00"/>
    <x v="7"/>
    <x v="1"/>
    <n v="2026"/>
    <s v="KNIDAR"/>
    <s v="NUIT"/>
    <s v="CMS"/>
    <s v="LIGNE 2"/>
    <s v="EDMI"/>
    <s v="EDMI"/>
    <s v="EDM830-010-107BRTISH"/>
    <d v="1899-12-30T23:15:00"/>
    <d v="1899-12-30T00:00:00"/>
    <n v="0.75"/>
    <n v="3"/>
    <s v="3EDMIBERRECHID"/>
    <n v="5.8109504132231396E-4"/>
    <x v="58"/>
    <s v="Retard de réglage mire écran sérigraphié (à distance)"/>
    <x v="5"/>
    <s v="KNIDAR"/>
  </r>
  <r>
    <x v="1"/>
    <s v="Bât A"/>
    <d v="2026-01-12T00:00:00"/>
    <x v="7"/>
    <x v="1"/>
    <n v="2026"/>
    <s v="KNIDAR"/>
    <s v="NUIT"/>
    <s v="CMS"/>
    <s v="LIGNE 2"/>
    <s v="EDMI"/>
    <s v="EDMI"/>
    <s v="EDM830-010-107BRTISH"/>
    <d v="1899-12-30T00:00:00"/>
    <d v="1899-12-30T01:00:00"/>
    <n v="1"/>
    <n v="3"/>
    <s v="3EDMIBERRECHID"/>
    <n v="7.7479338842975198E-4"/>
    <x v="33"/>
    <s v="Validation table + 1ère carte (Planification)"/>
    <x v="0"/>
    <s v="DRISS"/>
  </r>
  <r>
    <x v="1"/>
    <s v="Bât A"/>
    <d v="2026-01-12T00:00:00"/>
    <x v="7"/>
    <x v="1"/>
    <n v="2026"/>
    <s v="ISMAIL"/>
    <s v="MATIN "/>
    <s v="TEST TAKAYA"/>
    <s v="Takaya-9411"/>
    <s v=""/>
    <s v="LE RESTE"/>
    <s v="SERRL5B"/>
    <d v="1899-12-30T09:55:00"/>
    <d v="1899-12-30T10:50:00"/>
    <n v="0.91666666666666741"/>
    <n v="2"/>
    <s v="2LE RESTEBERRECHID"/>
    <n v="3.5511363636363659E-4"/>
    <x v="59"/>
    <s v="Relay probe 3"/>
    <x v="1"/>
    <s v="SLIMANE"/>
  </r>
  <r>
    <x v="0"/>
    <s v="TEM"/>
    <d v="2026-01-12T00:00:00"/>
    <x v="7"/>
    <x v="1"/>
    <n v="2026"/>
    <s v="DAHAB"/>
    <s v="NORMALE"/>
    <s v="TEST"/>
    <s v="Test fonctionnel_x000a_(T4675-01)"/>
    <s v="ABB"/>
    <s v="ABB"/>
    <n v="5012"/>
    <d v="1899-12-30T08:30:00"/>
    <d v="1899-12-30T17:19:48"/>
    <n v="8.83"/>
    <n v="1"/>
    <s v="1ABBTEMARA"/>
    <n v="1.5386578356236786E-2"/>
    <x v="55"/>
    <s v="Corruption du fichier source (** .seq**)"/>
    <x v="2"/>
    <s v="ANAS"/>
  </r>
  <r>
    <x v="0"/>
    <s v="TEM"/>
    <d v="2026-01-12T00:00:00"/>
    <x v="7"/>
    <x v="1"/>
    <n v="2026"/>
    <s v="DAHAB"/>
    <s v="NORMALE"/>
    <s v="FERMETURE ULTRASON"/>
    <s v="T4662-01"/>
    <s v="ABB"/>
    <s v="ABB"/>
    <n v="5012"/>
    <d v="1899-12-30T12:00:00"/>
    <d v="1899-12-30T12:20:00"/>
    <n v="0.33333333333334281"/>
    <n v="1"/>
    <s v="1ABBTEMARA"/>
    <n v="5.8084478505991786E-4"/>
    <x v="60"/>
    <s v="Problème du plaquage"/>
    <x v="1"/>
    <s v="NAOUFEL"/>
  </r>
  <r>
    <x v="0"/>
    <s v="TEM"/>
    <d v="2026-01-13T00:00:00"/>
    <x v="7"/>
    <x v="1"/>
    <n v="2026"/>
    <s v="DAHAB"/>
    <s v="NORMALE"/>
    <s v="TEST"/>
    <s v="Test fonctionnel_x000a_(T4675-01)"/>
    <s v="ABB"/>
    <s v="ABB"/>
    <n v="5012"/>
    <d v="1899-12-30T08:30:00"/>
    <d v="1899-12-30T17:19:48"/>
    <n v="8.83"/>
    <n v="1"/>
    <s v="1ABBTEMARA"/>
    <n v="1.5386578356236786E-2"/>
    <x v="55"/>
    <s v="Corruption du fichier source (** .seq**)"/>
    <x v="2"/>
    <s v="ANAS"/>
  </r>
  <r>
    <x v="0"/>
    <s v="TEM"/>
    <d v="2026-01-13T00:00:00"/>
    <x v="7"/>
    <x v="1"/>
    <n v="2026"/>
    <s v="DAHAB"/>
    <s v="NORMALE"/>
    <s v="TOMPGRAPHIE"/>
    <s v="Tompgraphie"/>
    <s v="ABB"/>
    <s v="ABB"/>
    <n v="5001"/>
    <d v="1899-12-30T09:30:00"/>
    <d v="1899-12-30T17:19:48"/>
    <n v="7.83"/>
    <n v="1"/>
    <s v="1ABBTEMARA"/>
    <n v="1.3644044001057083E-2"/>
    <x v="61"/>
    <s v="Montage des piéces de rechange par la maintenance"/>
    <x v="1"/>
    <s v="NAWFEL/SAID"/>
  </r>
  <r>
    <x v="0"/>
    <s v="TEM"/>
    <d v="2026-01-14T00:00:00"/>
    <x v="7"/>
    <x v="1"/>
    <n v="2026"/>
    <s v="DAHAB"/>
    <s v="NORMALE"/>
    <s v="TOMPGRAPHIE"/>
    <s v="Tompgraphie"/>
    <s v="ABB"/>
    <s v="ABB"/>
    <n v="5001"/>
    <d v="1899-12-30T08:30:00"/>
    <d v="1899-12-30T10:30:00"/>
    <n v="1.9999999999999996"/>
    <n v="1"/>
    <s v="1ABBTEMARA"/>
    <n v="3.4850687103594076E-3"/>
    <x v="62"/>
    <s v="Démarrage machine tampo après réparation (fuites)"/>
    <x v="1"/>
    <s v="DAHAB"/>
  </r>
  <r>
    <x v="0"/>
    <s v="TEM"/>
    <d v="2026-01-14T00:00:00"/>
    <x v="7"/>
    <x v="1"/>
    <n v="2026"/>
    <s v="DAHAB"/>
    <s v="NORMALE"/>
    <s v="TEST"/>
    <s v="Test fonctionnel_x000a_(T4675-01)"/>
    <s v="ABB"/>
    <s v="ABB"/>
    <n v="5012"/>
    <d v="1899-12-30T08:30:00"/>
    <d v="1899-12-30T17:19:48"/>
    <n v="8.83"/>
    <n v="1"/>
    <s v="1ABBTEMARA"/>
    <n v="1.5386578356236786E-2"/>
    <x v="55"/>
    <s v="Corruption du fichier source (** .seq**)"/>
    <x v="2"/>
    <s v="ANAS"/>
  </r>
  <r>
    <x v="1"/>
    <s v="Bât A"/>
    <d v="2026-01-13T00:00:00"/>
    <x v="7"/>
    <x v="1"/>
    <n v="2026"/>
    <s v="ISMAIL"/>
    <s v="APM"/>
    <s v="TEST FONCTIONNEL"/>
    <s v="Test Fonctionnel Carte ENS2005345"/>
    <s v="ENSTO-NOVEXIA"/>
    <s v="LE RESTE"/>
    <s v="ENS2005345"/>
    <d v="1899-12-30T14:00:00"/>
    <d v="1899-12-30T22:00:00"/>
    <n v="7.9999999999999982"/>
    <n v="2"/>
    <s v="2LE RESTEBERRECHID"/>
    <n v="3.0991735537190075E-3"/>
    <x v="63"/>
    <s v="Détéction du Faux défaut G4*T4 (Impact OTD)"/>
    <x v="1"/>
    <s v="SLIMANE + YOUNES"/>
  </r>
  <r>
    <x v="1"/>
    <s v="Bât B"/>
    <d v="2026-01-14T00:00:00"/>
    <x v="7"/>
    <x v="1"/>
    <n v="2026"/>
    <s v="OUMAIMA"/>
    <s v="MATIN "/>
    <s v="TEST CONFIG"/>
    <s v="Test Config"/>
    <s v="EDMI"/>
    <s v="EDMI"/>
    <s v="EDMES012BAR00"/>
    <d v="1899-12-30T12:00:00"/>
    <d v="1899-12-30T13:39:00"/>
    <n v="1.6499999999999995"/>
    <n v="3"/>
    <s v="3EDMIBERRECHID"/>
    <n v="1.2784090909090903E-3"/>
    <x v="33"/>
    <s v="Attente validation sampling (Manques et Nvx démarrage)"/>
    <x v="2"/>
    <s v="PRODUCTION"/>
  </r>
  <r>
    <x v="1"/>
    <s v="Bât A"/>
    <d v="2026-01-12T00:00:00"/>
    <x v="7"/>
    <x v="1"/>
    <n v="2026"/>
    <s v="KNIDAR"/>
    <s v="MATIN"/>
    <s v="CMS"/>
    <s v="LIGNE 2"/>
    <s v="EDMI"/>
    <s v="EDMI"/>
    <s v="EDM830-010-107BRTISH"/>
    <d v="1899-12-30T08:54:00"/>
    <d v="1899-12-30T09:19:00"/>
    <n v="0.41666666666666652"/>
    <n v="3"/>
    <s v="3EDMIBERRECHID"/>
    <n v="3.2283057851239654E-4"/>
    <x v="64"/>
    <s v="blocage du magasin (pb pneumatique)"/>
    <x v="1"/>
    <s v="Batar"/>
  </r>
  <r>
    <x v="1"/>
    <s v="Bât A"/>
    <d v="2026-01-15T00:00:00"/>
    <x v="7"/>
    <x v="1"/>
    <n v="2026"/>
    <s v="KNIDAR"/>
    <s v="NUIT"/>
    <s v="CMS"/>
    <s v="LIGNE 2"/>
    <s v="EDMI"/>
    <s v="EDMI"/>
    <s v="EDM830-010-107BRTISH"/>
    <d v="1899-12-30T00:50:00"/>
    <d v="1899-12-30T06:00:00"/>
    <n v="5.166666666666667"/>
    <n v="3"/>
    <s v="3EDMIBERRECHID"/>
    <n v="4.0030991735537187E-3"/>
    <x v="0"/>
    <s v="Manque officiel composant résistance EDM180-00597"/>
    <x v="0"/>
    <s v="BOUDRA"/>
  </r>
  <r>
    <x v="0"/>
    <s v="TEM"/>
    <d v="2026-01-15T00:00:00"/>
    <x v="7"/>
    <x v="1"/>
    <n v="2026"/>
    <s v="DAHAB"/>
    <s v="NORMALE"/>
    <s v="TEST"/>
    <s v="Test fonctionnel_x000a_(T4675-01)"/>
    <s v="ABB"/>
    <s v="ABB"/>
    <n v="5012"/>
    <d v="1899-12-30T08:30:00"/>
    <d v="1899-12-30T18:00:00"/>
    <n v="9.5000000000000142"/>
    <n v="1"/>
    <s v="1ABBTEMARA"/>
    <n v="1.6554076374207211E-2"/>
    <x v="55"/>
    <s v="Corruption du fichier source (** .seq**)"/>
    <x v="2"/>
    <s v="ANAS"/>
  </r>
  <r>
    <x v="1"/>
    <s v="Bât A"/>
    <d v="2026-01-15T00:00:00"/>
    <x v="7"/>
    <x v="1"/>
    <n v="2026"/>
    <s v="ISMAIL"/>
    <s v="APM"/>
    <s v="TEST TAKAYA"/>
    <s v="Takaya-9411"/>
    <s v="DISTECH"/>
    <s v="LE RESTE"/>
    <s v="DISXCRT0211"/>
    <d v="1899-12-30T15:30:00"/>
    <d v="1899-12-30T16:30:00"/>
    <n v="0.99999999999999911"/>
    <n v="2"/>
    <s v="2LE RESTEBERRECHID"/>
    <n v="3.8739669421487566E-4"/>
    <x v="65"/>
    <s v="Déplacement de la machine pour la pose de résine ESD"/>
    <x v="1"/>
    <s v="BATAR"/>
  </r>
  <r>
    <x v="1"/>
    <s v="Bât A"/>
    <d v="2026-01-15T00:00:00"/>
    <x v="7"/>
    <x v="1"/>
    <n v="2026"/>
    <s v="ISMAIL"/>
    <s v="APM"/>
    <s v="TEST TAKAYA"/>
    <s v="Takaya-9411"/>
    <s v="DISTECH"/>
    <s v="LE RESTE"/>
    <s v="DISXCRT0211"/>
    <d v="1899-12-30T15:30:00"/>
    <d v="1899-12-30T16:30:00"/>
    <n v="0.99999999999999911"/>
    <n v="2"/>
    <s v="2LE RESTEBERRECHID"/>
    <n v="3.8739669421487566E-4"/>
    <x v="66"/>
    <s v="Ecrasement du programme de test"/>
    <x v="2"/>
    <s v="ILHAM "/>
  </r>
  <r>
    <x v="1"/>
    <s v="Bât A"/>
    <d v="2026-01-15T00:00:00"/>
    <x v="7"/>
    <x v="1"/>
    <n v="2026"/>
    <s v="ISMAIL"/>
    <s v="APM"/>
    <s v="TEST FONCTIONNEL "/>
    <s v="Test Fonctionnel _x000a_Carte SERRL5B"/>
    <s v="SERAP"/>
    <s v="LE RESTE"/>
    <s v="SERRL5B"/>
    <d v="1899-12-30T15:30:00"/>
    <d v="1899-12-30T22:00:00"/>
    <n v="6.4999999999999982"/>
    <n v="2"/>
    <s v="2LE RESTEBERRECHID"/>
    <n v="2.5180785123966932E-3"/>
    <x v="67"/>
    <s v="Défaut Led 3 reste Allumée (Risque S06)"/>
    <x v="1"/>
    <s v="SLIMANE"/>
  </r>
  <r>
    <x v="0"/>
    <s v="TEM"/>
    <d v="2026-01-16T00:00:00"/>
    <x v="7"/>
    <x v="1"/>
    <n v="2026"/>
    <s v="BADIA"/>
    <s v="NORMALE"/>
    <s v="CABLAGE"/>
    <s v="INTEGRATION"/>
    <s v="SOLUSCOPE"/>
    <s v="SOLUSCOPE"/>
    <s v="Coffret  S4"/>
    <d v="1899-12-30T08:30:00"/>
    <d v="1899-12-30T12:00:00"/>
    <n v="3.5000000000000142"/>
    <n v="1"/>
    <s v="1SOLUSCOPETEMARA"/>
    <n v="6.7006114261003544E-4"/>
    <x v="0"/>
    <s v="Manquant officiel du composant SOLCAB2130056"/>
    <x v="0"/>
    <s v="BADIA"/>
  </r>
  <r>
    <x v="0"/>
    <s v="TEM"/>
    <d v="2026-01-16T00:00:00"/>
    <x v="7"/>
    <x v="1"/>
    <n v="2026"/>
    <s v="DAHAB"/>
    <s v="NORMALE"/>
    <s v="TEST"/>
    <s v="Test fonctionnel_x000a_(T4675-01)"/>
    <s v="ABB"/>
    <s v="ABB"/>
    <n v="5012"/>
    <d v="1899-12-30T08:30:00"/>
    <d v="1899-12-30T18:00:00"/>
    <n v="9.5000000000000142"/>
    <n v="1"/>
    <s v="1ABBTEMARA"/>
    <n v="1.6554076374207211E-2"/>
    <x v="55"/>
    <s v="Corruption du fichier source (** .seq**)"/>
    <x v="2"/>
    <s v="ANAS"/>
  </r>
  <r>
    <x v="1"/>
    <s v="Bât B"/>
    <d v="2026-01-19T00:00:00"/>
    <x v="8"/>
    <x v="1"/>
    <n v="2026"/>
    <s v="TARIK"/>
    <s v="MATIN"/>
    <s v="INTEGRATION"/>
    <s v="Integration"/>
    <s v="EDMI"/>
    <s v="EDMI"/>
    <s v="EDMES012BAD-02"/>
    <d v="1899-12-30T06:00:00"/>
    <d v="1899-12-30T07:30:00"/>
    <n v="1.5"/>
    <n v="3"/>
    <s v="3EDMIBERRECHID"/>
    <n v="1.1621900826446279E-3"/>
    <x v="68"/>
    <s v="Problème réseau bâtiment B (Arrêt total)"/>
    <x v="3"/>
    <s v="OTHMANE"/>
  </r>
  <r>
    <x v="1"/>
    <s v="Bât A"/>
    <d v="2026-01-19T00:00:00"/>
    <x v="8"/>
    <x v="1"/>
    <n v="2026"/>
    <s v="ISMAIL"/>
    <s v="MATIN"/>
    <s v="TEST FONCTIONNEL "/>
    <s v="Test Fonctionnel _x000a_Carte SERRL5B"/>
    <s v="SERAP"/>
    <s v="LE RESTE"/>
    <s v="SERRL5B"/>
    <d v="1899-12-30T06:00:00"/>
    <d v="1899-12-30T09:00:00"/>
    <n v="3"/>
    <n v="2"/>
    <s v="2LE RESTEBERRECHID"/>
    <n v="1.1621900826446279E-3"/>
    <x v="67"/>
    <s v="Défaut Led 3 reste Allumée (Risque S06)"/>
    <x v="1"/>
    <s v="SLIMANE"/>
  </r>
  <r>
    <x v="0"/>
    <s v="TEM"/>
    <d v="2026-01-19T00:00:00"/>
    <x v="8"/>
    <x v="1"/>
    <n v="2026"/>
    <s v="DAHAB"/>
    <s v="NORMALE"/>
    <s v="TEST"/>
    <s v="Test fonctionnel_x000a_(T4675-01)"/>
    <s v="ABB"/>
    <s v="ABB"/>
    <n v="5012"/>
    <d v="1899-12-30T08:30:00"/>
    <d v="1899-12-30T18:00:00"/>
    <n v="9.5000000000000142"/>
    <n v="1"/>
    <s v="1ABBTEMARA"/>
    <n v="1.6554076374207211E-2"/>
    <x v="55"/>
    <s v="Corruption du fichier source (** .seq**)"/>
    <x v="2"/>
    <s v="ANAS"/>
  </r>
  <r>
    <x v="0"/>
    <s v="TEM"/>
    <d v="2026-01-20T00:00:00"/>
    <x v="8"/>
    <x v="1"/>
    <n v="2026"/>
    <s v="DAHAB"/>
    <s v="NORMALE"/>
    <s v="TEST"/>
    <s v="Test fonctionnel_x000a_(T4675-01)"/>
    <s v="ABB"/>
    <s v="ABB"/>
    <n v="5012"/>
    <d v="1899-12-30T08:30:00"/>
    <d v="1899-12-30T18:00:00"/>
    <n v="9.5000000000000142"/>
    <n v="1"/>
    <s v="1ABBTEMARA"/>
    <n v="1.6554076374207211E-2"/>
    <x v="55"/>
    <s v="Corruption du fichier source (** .seq**)"/>
    <x v="2"/>
    <s v="ANAS"/>
  </r>
  <r>
    <x v="0"/>
    <s v="TEM"/>
    <d v="2026-01-20T00:00:00"/>
    <x v="8"/>
    <x v="1"/>
    <n v="2026"/>
    <s v="DAHAB"/>
    <s v="NORMALE"/>
    <s v="FERMETURE"/>
    <s v="Fermeture"/>
    <s v="ABB"/>
    <s v="ABB"/>
    <s v="NA"/>
    <d v="1899-12-30T13:20:00"/>
    <d v="1899-12-30T18:00:00"/>
    <n v="4.6666666666666714"/>
    <n v="1"/>
    <s v="1ABBTEMARA"/>
    <n v="8.1318269908386264E-3"/>
    <x v="69"/>
    <s v="Visite ABB - Rangement 5S"/>
    <x v="6"/>
    <s v="DAHAB"/>
  </r>
  <r>
    <x v="0"/>
    <s v="TEM"/>
    <d v="2026-01-20T00:00:00"/>
    <x v="8"/>
    <x v="1"/>
    <n v="2026"/>
    <s v="DAHAB"/>
    <s v="NORMALE"/>
    <s v="TOMPGRAPHIE"/>
    <s v="Tompgraphie"/>
    <s v="ABB"/>
    <s v="ABB"/>
    <s v="NA"/>
    <d v="1899-12-30T13:20:00"/>
    <d v="1899-12-30T18:00:00"/>
    <n v="4.6666666666666714"/>
    <n v="1"/>
    <s v="1ABBTEMARA"/>
    <n v="8.1318269908386264E-3"/>
    <x v="69"/>
    <s v="Visite ABB - Rangement 5S"/>
    <x v="6"/>
    <s v="DAHAB"/>
  </r>
  <r>
    <x v="0"/>
    <s v="TEM"/>
    <d v="2026-01-20T00:00:00"/>
    <x v="8"/>
    <x v="1"/>
    <n v="2026"/>
    <s v="DAHAB"/>
    <s v="NORMALE"/>
    <s v="BRASAGE"/>
    <s v="Brasage"/>
    <s v="ABB"/>
    <s v="ABB"/>
    <s v="NA"/>
    <d v="1899-12-30T13:20:00"/>
    <d v="1899-12-30T18:00:00"/>
    <n v="4.6666666666666714"/>
    <n v="1"/>
    <s v="1ABBTEMARA"/>
    <n v="8.1318269908386264E-3"/>
    <x v="69"/>
    <s v="Visite ABB - Rangement 5S"/>
    <x v="6"/>
    <s v="DAHAB"/>
  </r>
  <r>
    <x v="0"/>
    <s v="TEM"/>
    <d v="2026-01-20T00:00:00"/>
    <x v="8"/>
    <x v="1"/>
    <n v="2026"/>
    <s v="DAHAB"/>
    <s v="NORMALE"/>
    <s v="TEST"/>
    <s v="Test"/>
    <s v="ABB"/>
    <s v="ABB"/>
    <s v="NA"/>
    <d v="1899-12-30T13:20:00"/>
    <d v="1899-12-30T18:00:00"/>
    <n v="4.6666666666666714"/>
    <n v="1"/>
    <s v="1ABBTEMARA"/>
    <n v="8.1318269908386264E-3"/>
    <x v="69"/>
    <s v="Visite ABB - Rangement 5S"/>
    <x v="6"/>
    <s v="DAHAB"/>
  </r>
  <r>
    <x v="0"/>
    <s v="TEM"/>
    <d v="2026-01-21T00:00:00"/>
    <x v="8"/>
    <x v="1"/>
    <n v="2026"/>
    <s v="DAHAB"/>
    <s v="NORMALE"/>
    <s v="FERMETURE"/>
    <s v="Fermeture"/>
    <s v="ABB"/>
    <s v="ABB"/>
    <s v="NA"/>
    <d v="1899-12-30T08:30:00"/>
    <d v="1899-12-30T13:20:00"/>
    <n v="4.8333333333333428"/>
    <n v="1"/>
    <s v="1ABBTEMARA"/>
    <n v="8.4222493833685866E-3"/>
    <x v="70"/>
    <s v="Visite ABB - Baisse cadence suite changement process"/>
    <x v="6"/>
    <s v="DAHAB"/>
  </r>
  <r>
    <x v="0"/>
    <s v="TEM"/>
    <d v="2026-01-21T00:00:00"/>
    <x v="8"/>
    <x v="1"/>
    <n v="2026"/>
    <s v="DAHAB"/>
    <s v="NORMALE"/>
    <s v="TOMPGRAPHIE"/>
    <s v="Tompgraphie"/>
    <s v="ABB"/>
    <s v="ABB"/>
    <s v="NA"/>
    <d v="1899-12-30T08:30:00"/>
    <d v="1899-12-30T13:20:00"/>
    <n v="4.8333333333333428"/>
    <n v="1"/>
    <s v="1ABBTEMARA"/>
    <n v="8.4222493833685866E-3"/>
    <x v="70"/>
    <s v="Visite ABB - Baisse cadence suite changement process"/>
    <x v="6"/>
    <s v="DAHAB"/>
  </r>
  <r>
    <x v="0"/>
    <s v="TEM"/>
    <d v="2026-01-21T00:00:00"/>
    <x v="8"/>
    <x v="1"/>
    <n v="2026"/>
    <s v="DAHAB"/>
    <s v="NORMALE"/>
    <s v="BRASAGE"/>
    <s v="Brasage"/>
    <s v="ABB"/>
    <s v="ABB"/>
    <s v="NA"/>
    <d v="1899-12-30T08:30:00"/>
    <d v="1899-12-30T13:20:00"/>
    <n v="4.8333333333333428"/>
    <n v="1"/>
    <s v="1ABBTEMARA"/>
    <n v="8.4222493833685866E-3"/>
    <x v="70"/>
    <s v="Visite ABB - Baisse cadence suite changement process"/>
    <x v="6"/>
    <s v="DAHAB"/>
  </r>
  <r>
    <x v="1"/>
    <s v="Bât A"/>
    <d v="2026-01-21T00:00:00"/>
    <x v="8"/>
    <x v="1"/>
    <n v="2026"/>
    <s v="LATIFA"/>
    <s v="NORMALE"/>
    <s v="EMS"/>
    <s v="Etamage"/>
    <s v="EMS"/>
    <s v="EMS"/>
    <s v="EMSEL-628"/>
    <d v="1899-12-30T07:30:00"/>
    <d v="1899-12-30T10:30:00"/>
    <n v="3"/>
    <n v="2"/>
    <s v="2EMSBERRECHID"/>
    <n v="5.5785123966942162E-4"/>
    <x v="71"/>
    <s v="Envoi bain étamage à Temara pour préparer Visite ABB  sans avertir (Mq backup)"/>
    <x v="6"/>
    <s v="MOJAHID"/>
  </r>
  <r>
    <x v="1"/>
    <s v="Bât A"/>
    <d v="2026-01-21T00:00:00"/>
    <x v="8"/>
    <x v="1"/>
    <n v="2026"/>
    <s v="ELMIR"/>
    <s v="MATIN"/>
    <s v="TRAVERSANT"/>
    <s v="vague"/>
    <s v="EDMI"/>
    <s v="EDMI"/>
    <s v="EDM830-010-107BRTISH"/>
    <d v="1899-12-30T08:20:00"/>
    <d v="1899-12-30T14:00:00"/>
    <n v="5.6666666666666679"/>
    <n v="3"/>
    <s v="3EDMIBERRECHID"/>
    <n v="4.390495867768596E-3"/>
    <x v="0"/>
    <s v="Manque officiel résistance EDM180-00597 (Mq cartes)"/>
    <x v="0"/>
    <s v="BOUDRA"/>
  </r>
  <r>
    <x v="1"/>
    <s v="Bât A"/>
    <d v="2026-01-22T00:00:00"/>
    <x v="8"/>
    <x v="1"/>
    <n v="2026"/>
    <s v="KNIDAR"/>
    <s v="APM"/>
    <s v="CMS"/>
    <s v="LIGNE 2"/>
    <s v="EDMI"/>
    <s v="EDMI"/>
    <s v="EDM830-010-107BRTISH"/>
    <d v="1899-12-30T14:00:00"/>
    <d v="1899-12-30T18:45:00"/>
    <n v="4.7499999999999991"/>
    <n v="3"/>
    <s v="3EDMIBERRECHID"/>
    <n v="3.6802685950413209E-3"/>
    <x v="18"/>
    <s v="Basculement ES10B (Pb Planification feeders)"/>
    <x v="0"/>
    <s v="HOUSSAM"/>
  </r>
  <r>
    <x v="1"/>
    <s v="Bât B"/>
    <d v="2026-01-22T00:00:00"/>
    <x v="8"/>
    <x v="1"/>
    <n v="2026"/>
    <s v="TARIK"/>
    <s v="MATIN"/>
    <s v="EMBALLAGE"/>
    <s v="Emballage"/>
    <s v="EDMI"/>
    <s v="EDMI"/>
    <s v="EDMES010BAU10"/>
    <d v="1899-12-30T13:00:00"/>
    <d v="1899-12-30T14:00:00"/>
    <n v="1.0000000000000018"/>
    <n v="3"/>
    <s v="3EDMIBERRECHID"/>
    <n v="7.7479338842975339E-4"/>
    <x v="72"/>
    <s v="Intervention sur le réseau"/>
    <x v="3"/>
    <s v="RAFIQ"/>
  </r>
  <r>
    <x v="1"/>
    <s v="Bât B"/>
    <d v="2026-01-22T00:00:00"/>
    <x v="8"/>
    <x v="1"/>
    <n v="2026"/>
    <s v="SALAH"/>
    <s v="APM"/>
    <s v="INTEGRATION"/>
    <s v="Bat B"/>
    <s v="EDMI"/>
    <s v="EDMI"/>
    <s v="EDM830-010-107BRTISH"/>
    <d v="1899-12-30T14:00:00"/>
    <d v="1899-12-30T15:00:00"/>
    <n v="0.99999999999999911"/>
    <n v="3"/>
    <s v="3EDMIBERRECHID"/>
    <n v="7.7479338842975133E-4"/>
    <x v="68"/>
    <s v="Coupure réseau"/>
    <x v="3"/>
    <s v="RAFIQ"/>
  </r>
  <r>
    <x v="1"/>
    <s v="Bât A"/>
    <d v="2026-01-22T00:00:00"/>
    <x v="8"/>
    <x v="1"/>
    <n v="2026"/>
    <s v="KNIDAR"/>
    <s v="APM"/>
    <s v="CMS"/>
    <s v="LIGNE 2"/>
    <s v="EDMI"/>
    <s v="EDMI"/>
    <s v="EDM830-010-107BRTISH"/>
    <d v="1899-12-30T14:00:00"/>
    <d v="1899-12-30T15:00:00"/>
    <n v="0.99999999999999911"/>
    <n v="3"/>
    <s v="3EDMIBERRECHID"/>
    <n v="7.7479338842975133E-4"/>
    <x v="72"/>
    <s v="Problème communication (intervention réseau)"/>
    <x v="3"/>
    <s v="RAFIQ"/>
  </r>
  <r>
    <x v="1"/>
    <s v="Bât A"/>
    <d v="2026-01-22T00:00:00"/>
    <x v="8"/>
    <x v="1"/>
    <n v="2026"/>
    <s v="KNIDAR"/>
    <s v="APM"/>
    <s v="CMS"/>
    <s v="LIGNE 2"/>
    <s v="EDMI"/>
    <s v="EDMI"/>
    <s v="EDM830-010-107BRTISH"/>
    <d v="1899-12-30T15:30:00"/>
    <d v="1899-12-30T16:30:00"/>
    <n v="0.99999999999999911"/>
    <n v="3"/>
    <s v="3EDMIBERRECHID"/>
    <n v="7.7479338842975133E-4"/>
    <x v="73"/>
    <s v="Changement conditionnement bobine/tube (EDMI25-00028)"/>
    <x v="7"/>
    <s v="ZOHRA"/>
  </r>
  <r>
    <x v="1"/>
    <s v="Bât A"/>
    <d v="2026-01-23T00:00:00"/>
    <x v="8"/>
    <x v="1"/>
    <n v="2026"/>
    <s v="KNIDAR"/>
    <s v="NUIT "/>
    <s v="CMS"/>
    <s v="LIGNE 2"/>
    <s v="EDMI"/>
    <s v="EDMI"/>
    <s v="EDM830-010-107BRTISH"/>
    <d v="1899-12-30T22:00:00"/>
    <d v="1899-12-30T23:55:00"/>
    <n v="1.9166666666666679"/>
    <n v="3"/>
    <s v="3EDMIBERRECHID"/>
    <n v="1.4850206611570255E-3"/>
    <x v="74"/>
    <s v="Problème buses skippées (nettoyage + feeders)"/>
    <x v="1"/>
    <s v="KNIDAR"/>
  </r>
  <r>
    <x v="0"/>
    <s v="TEM"/>
    <d v="2026-01-23T00:00:00"/>
    <x v="8"/>
    <x v="1"/>
    <n v="2026"/>
    <s v="BADIA"/>
    <s v="NORMALE"/>
    <s v="CABLAGE"/>
    <s v="INTEGRATION"/>
    <s v="SOLUSCOPE"/>
    <s v="SOLUSCOPE"/>
    <s v="Coffret  S4"/>
    <d v="1899-12-30T08:30:00"/>
    <d v="1899-12-30T13:00:00"/>
    <n v="4.5"/>
    <n v="1"/>
    <s v="1SOLUSCOPETEMARA"/>
    <n v="8.6150718335575643E-4"/>
    <x v="0"/>
    <s v="Manquant officiel du composant SOLCAB2130056"/>
    <x v="0"/>
    <s v="BOUDRA"/>
  </r>
  <r>
    <x v="1"/>
    <s v="Bât A"/>
    <d v="2026-01-23T00:00:00"/>
    <x v="8"/>
    <x v="1"/>
    <n v="2026"/>
    <s v="KNIDAR"/>
    <s v="NUIT"/>
    <s v="CMS"/>
    <s v="LIGNE 2"/>
    <s v="EDMI"/>
    <s v="EDMI"/>
    <s v="EDM830-010-107BRTISH"/>
    <d v="1899-12-30T23:10:00"/>
    <d v="1899-12-30T23:40:00"/>
    <n v="0.50000000000000089"/>
    <n v="3"/>
    <s v="3EDMIBERRECHID"/>
    <n v="3.8739669421487669E-4"/>
    <x v="75"/>
    <s v="Pb scan code EDM185-00006 suite modification"/>
    <x v="2"/>
    <s v="ZOHRA+KNIDAR"/>
  </r>
  <r>
    <x v="1"/>
    <s v="Bât A"/>
    <d v="2026-01-23T00:00:00"/>
    <x v="8"/>
    <x v="1"/>
    <n v="2026"/>
    <s v="ISMAIL"/>
    <s v="APM"/>
    <s v="TEST FONCTIONNEL "/>
    <s v="Test Fonctionnel _x000a_Carte SERRL5B"/>
    <s v="SERAP"/>
    <s v="LE RESTE"/>
    <s v="SERRL5B"/>
    <d v="1899-12-30T17:00:00"/>
    <d v="1899-12-30T22:00:00"/>
    <n v="4.9999999999999982"/>
    <n v="2"/>
    <s v="2LE RESTEBERRECHID"/>
    <n v="1.9369834710743794E-3"/>
    <x v="67"/>
    <s v="Défaut Led 3 reste Allumée (Risque S06)"/>
    <x v="1"/>
    <s v="SLIMANE"/>
  </r>
  <r>
    <x v="1"/>
    <s v="Bât A"/>
    <d v="2026-01-24T00:00:00"/>
    <x v="8"/>
    <x v="1"/>
    <n v="2026"/>
    <s v="ISMAIL"/>
    <s v="MATIN"/>
    <s v="TEST FONCTIONNEL "/>
    <s v="Test Fonctionnel _x000a_Carte SERRL5B"/>
    <s v="SERAP"/>
    <s v="LE RESTE"/>
    <s v="SERRL5B"/>
    <d v="1899-12-30T06:00:00"/>
    <d v="1899-12-30T07:00:00"/>
    <n v="1.0000000000000004"/>
    <n v="2"/>
    <s v="2LE RESTEBERRECHID"/>
    <n v="3.8739669421487615E-4"/>
    <x v="67"/>
    <s v="Défaut Led 3 reste Allumée (Risque S06)"/>
    <x v="1"/>
    <s v="SLIMANE"/>
  </r>
  <r>
    <x v="1"/>
    <s v="Bât A"/>
    <d v="2026-01-24T00:00:00"/>
    <x v="8"/>
    <x v="1"/>
    <n v="2026"/>
    <s v="ISMAIL"/>
    <s v="MATIN"/>
    <s v="TEST FONCTIONNEL "/>
    <s v="Test Fonctionnel _x000a_Carte SERRL5B"/>
    <s v="SERAP"/>
    <s v="LE RESTE"/>
    <s v="SERRL5B"/>
    <d v="1899-12-30T11:00:00"/>
    <d v="1899-12-30T12:00:00"/>
    <n v="1.0000000000000004"/>
    <n v="2"/>
    <s v="2LE RESTEBERRECHID"/>
    <n v="3.8739669421487615E-4"/>
    <x v="67"/>
    <s v="Défaut Led 3 reste Allumée (Risque S06)"/>
    <x v="1"/>
    <s v="SLIMANE"/>
  </r>
  <r>
    <x v="1"/>
    <s v="Bât A"/>
    <d v="2026-01-24T00:00:00"/>
    <x v="8"/>
    <x v="1"/>
    <n v="2026"/>
    <s v="ISMAIL"/>
    <s v="MATIN"/>
    <s v="TEST FONCTIONNEL "/>
    <s v="Test Fonctionnel _x000a_Carte SERRL5B"/>
    <s v="SERAP"/>
    <s v="LE RESTE"/>
    <s v="SERRL5B"/>
    <d v="1899-12-30T13:00:00"/>
    <d v="1899-12-30T14:00:00"/>
    <n v="1.0000000000000018"/>
    <n v="2"/>
    <s v="2LE RESTEBERRECHID"/>
    <n v="3.8739669421487669E-4"/>
    <x v="67"/>
    <s v="Défaut Led 3 reste Allumée (Risque S06)"/>
    <x v="1"/>
    <s v="SLIMANE"/>
  </r>
  <r>
    <x v="1"/>
    <s v="Bât A"/>
    <d v="2026-01-26T00:00:00"/>
    <x v="9"/>
    <x v="1"/>
    <n v="2026"/>
    <s v="ISMAIL"/>
    <s v="MATIN"/>
    <s v="TEST TAKAYA"/>
    <s v="Takaya-9411"/>
    <s v="EMS"/>
    <s v="EMS"/>
    <s v="ZEPEJ-156A/A"/>
    <d v="1899-12-30T06:00:00"/>
    <d v="1899-12-30T07:40:00"/>
    <n v="1.6666666666666661"/>
    <n v="2"/>
    <s v="2EMSBERRECHID"/>
    <n v="3.0991735537190079E-4"/>
    <x v="21"/>
    <s v="Coupure d'électricté"/>
    <x v="1"/>
    <s v="BATAR"/>
  </r>
  <r>
    <x v="1"/>
    <s v="Bât A"/>
    <d v="2026-01-26T00:00:00"/>
    <x v="9"/>
    <x v="1"/>
    <n v="2026"/>
    <s v="LATIFA"/>
    <s v="MATIN"/>
    <s v="FINITION"/>
    <s v="Dégrappage"/>
    <s v="EMS"/>
    <s v="EMS"/>
    <s v="EJ-186 "/>
    <d v="1899-12-30T06:00:00"/>
    <d v="1899-12-30T07:40:00"/>
    <n v="1.6666666666666661"/>
    <n v="2"/>
    <s v="2EMSBERRECHID"/>
    <n v="3.0991735537190079E-4"/>
    <x v="21"/>
    <s v="Coupure d'électricté"/>
    <x v="1"/>
    <s v="BATAR"/>
  </r>
  <r>
    <x v="1"/>
    <s v="Bât A"/>
    <d v="2026-01-26T00:00:00"/>
    <x v="9"/>
    <x v="1"/>
    <n v="2026"/>
    <s v="LATIFA"/>
    <s v="MATIN"/>
    <s v="FINITION"/>
    <s v="Finition"/>
    <s v="EMS"/>
    <s v="EMS"/>
    <s v="EJ-157"/>
    <d v="1899-12-30T06:00:00"/>
    <d v="1899-12-30T07:40:00"/>
    <n v="1.6666666666666661"/>
    <n v="2"/>
    <s v="2EMSBERRECHID"/>
    <n v="3.0991735537190079E-4"/>
    <x v="21"/>
    <s v="Coupure d'électricté"/>
    <x v="1"/>
    <s v="BATAR"/>
  </r>
  <r>
    <x v="1"/>
    <s v="Bât A"/>
    <d v="2026-01-26T00:00:00"/>
    <x v="9"/>
    <x v="1"/>
    <n v="2026"/>
    <s v="LATIFA"/>
    <s v="MATIN"/>
    <s v="FINITION"/>
    <s v="Finition"/>
    <s v="LE RESTE"/>
    <s v="LE RESTE"/>
    <s v="SERRL5A-sans inclino"/>
    <d v="1899-12-30T06:00:00"/>
    <d v="1899-12-30T07:40:00"/>
    <n v="1.6666666666666661"/>
    <n v="2"/>
    <s v="2LE RESTEBERRECHID"/>
    <n v="6.4566115702479308E-4"/>
    <x v="21"/>
    <s v="Coupure d'électricté"/>
    <x v="1"/>
    <s v="BATAR"/>
  </r>
  <r>
    <x v="1"/>
    <s v="Bât A"/>
    <d v="2026-01-26T00:00:00"/>
    <x v="9"/>
    <x v="1"/>
    <n v="2026"/>
    <s v="LATIFA"/>
    <s v="MATIN"/>
    <s v="FINITION"/>
    <s v="Finition"/>
    <s v="EDMI"/>
    <s v="EDMI"/>
    <s v="EDM830-00144"/>
    <d v="1899-12-30T06:00:00"/>
    <d v="1899-12-30T07:40:00"/>
    <n v="1.6666666666666661"/>
    <n v="3"/>
    <s v="3EDMIBERRECHID"/>
    <n v="1.2913223140495862E-3"/>
    <x v="21"/>
    <s v="Coupure d'électricté"/>
    <x v="1"/>
    <s v="BATAR"/>
  </r>
  <r>
    <x v="1"/>
    <s v="Bât A"/>
    <d v="2026-01-26T00:00:00"/>
    <x v="9"/>
    <x v="1"/>
    <n v="2026"/>
    <s v="Hanane"/>
    <s v="MATIN"/>
    <s v="TRAD"/>
    <s v="vague"/>
    <s v="EDMI"/>
    <s v="EDMI"/>
    <s v="EDM830-010-107BRTISH"/>
    <d v="1899-12-30T10:20:00"/>
    <d v="1899-12-30T14:00:00"/>
    <n v="3.666666666666667"/>
    <n v="3"/>
    <s v="3EDMIBERRECHID"/>
    <n v="2.8409090909090906E-3"/>
    <x v="0"/>
    <s v="Manquant officiel sur CMS switch EDM185-00007"/>
    <x v="0"/>
    <s v="Boudra"/>
  </r>
  <r>
    <x v="1"/>
    <s v="Bât A"/>
    <d v="2026-01-27T00:00:00"/>
    <x v="9"/>
    <x v="1"/>
    <n v="2026"/>
    <s v="ISMAIL"/>
    <s v="MATIN"/>
    <s v="TEST TAKAYA"/>
    <s v="Takaya-9411"/>
    <s v="MERCK"/>
    <s v="LE RESTE"/>
    <s v="MEMMERPF09103"/>
    <d v="1899-12-30T06:00:00"/>
    <d v="1899-12-30T10:00:00"/>
    <n v="4"/>
    <n v="2"/>
    <s v="2LE RESTEBERRECHID"/>
    <n v="1.549586776859504E-3"/>
    <x v="0"/>
    <s v="Manque de carte dans le IN Takaya suite au Manquant du composant Trad : SWITCHING BLOC H.T. (TDK)"/>
    <x v="0"/>
    <s v="Boudra"/>
  </r>
  <r>
    <x v="1"/>
    <s v="Bât A"/>
    <d v="2026-01-27T00:00:00"/>
    <x v="9"/>
    <x v="1"/>
    <n v="2026"/>
    <s v="KNIDAR"/>
    <s v="APM"/>
    <s v="CMS"/>
    <s v="LIGNE 2"/>
    <s v="EDMI"/>
    <s v="EDMI"/>
    <s v="EDM830-010-107"/>
    <d v="1899-12-30T13:30:00"/>
    <d v="1899-12-30T15:30:00"/>
    <n v="2"/>
    <n v="3"/>
    <s v="3EDMIBERRECHID"/>
    <n v="1.549586776859504E-3"/>
    <x v="76"/>
    <s v="Problème communication entre cogiscan et Panacim (traçabilité)"/>
    <x v="3"/>
    <s v="RAFIQ"/>
  </r>
  <r>
    <x v="1"/>
    <s v="Bât A"/>
    <d v="2026-01-27T00:00:00"/>
    <x v="9"/>
    <x v="1"/>
    <n v="2026"/>
    <s v="KNIDAR"/>
    <s v="APM"/>
    <s v="CMS"/>
    <s v="LIGNE 2"/>
    <s v="EDMI"/>
    <s v="EDMI"/>
    <s v="EDM830-010-107"/>
    <d v="1899-12-30T19:00:00"/>
    <d v="1899-12-30T22:00:00"/>
    <n v="3"/>
    <n v="3"/>
    <s v="3EDMIBERRECHID"/>
    <n v="2.3243801652892558E-3"/>
    <x v="76"/>
    <s v="Problème communication entre cogiscan et Panacim (traçabilité)"/>
    <x v="3"/>
    <s v="RAFIQ"/>
  </r>
  <r>
    <x v="0"/>
    <s v="TEM"/>
    <d v="2026-01-26T00:00:00"/>
    <x v="9"/>
    <x v="1"/>
    <n v="2026"/>
    <s v="DAHAB"/>
    <s v="NORMALE"/>
    <s v="TEST"/>
    <s v="Test fonctionnel_x000a_(T4675-01)"/>
    <s v="ABB"/>
    <s v="ABB"/>
    <n v="5505"/>
    <d v="1899-12-30T08:30:00"/>
    <d v="1899-12-30T18:00:00"/>
    <n v="9.5000000000000142"/>
    <n v="1"/>
    <s v="1ABBTEMARA"/>
    <n v="1.6554076374207211E-2"/>
    <x v="14"/>
    <s v="un dysfonctionnement au niveau de l'interface 6mm Ressort,"/>
    <x v="1"/>
    <s v="NAWFEL/ANAS"/>
  </r>
  <r>
    <x v="0"/>
    <s v="TEM"/>
    <d v="2026-01-27T00:00:00"/>
    <x v="9"/>
    <x v="1"/>
    <n v="2026"/>
    <s v="DAHAB"/>
    <s v="NORMALE"/>
    <s v="TEST"/>
    <s v="Test fonctionnel_x000a_(T4675-01)"/>
    <s v="ABB"/>
    <s v="ABB"/>
    <n v="5505"/>
    <d v="1899-12-30T08:30:00"/>
    <d v="1899-12-30T18:00:00"/>
    <n v="9.5000000000000142"/>
    <n v="1"/>
    <s v="1ABBTEMARA"/>
    <n v="1.6554076374207211E-2"/>
    <x v="14"/>
    <s v="un dysfonctionnement au niveau de l'interface 6mm Ressort,"/>
    <x v="1"/>
    <s v="NAWFEL/ANAS"/>
  </r>
  <r>
    <x v="0"/>
    <s v="TEM"/>
    <d v="2026-01-28T00:00:00"/>
    <x v="9"/>
    <x v="1"/>
    <n v="2026"/>
    <s v="DAHAB"/>
    <s v="NORMALE"/>
    <s v="TEST"/>
    <s v="Test fonctionnel_x000a_(T4675-01)"/>
    <s v="ABB"/>
    <s v="ABB"/>
    <n v="5527"/>
    <d v="1899-12-30T08:30:00"/>
    <d v="1899-12-30T13:30:00"/>
    <n v="5.0000000000000142"/>
    <n v="1"/>
    <s v="1ABBTEMARA"/>
    <n v="8.712671775898545E-3"/>
    <x v="14"/>
    <s v="un dysfonctionnement au niveau de l'interface 6mm Ressort,"/>
    <x v="1"/>
    <s v="NAWFEL/ANAS"/>
  </r>
  <r>
    <x v="2"/>
    <m/>
    <m/>
    <x v="10"/>
    <x v="2"/>
    <m/>
    <m/>
    <m/>
    <m/>
    <m/>
    <m/>
    <m/>
    <m/>
    <m/>
    <m/>
    <m/>
    <m/>
    <m/>
    <m/>
    <x v="77"/>
    <m/>
    <x v="8"/>
    <m/>
  </r>
  <r>
    <x v="2"/>
    <m/>
    <m/>
    <x v="10"/>
    <x v="2"/>
    <m/>
    <m/>
    <m/>
    <m/>
    <m/>
    <m/>
    <m/>
    <m/>
    <m/>
    <m/>
    <m/>
    <m/>
    <m/>
    <m/>
    <x v="77"/>
    <m/>
    <x v="8"/>
    <m/>
  </r>
  <r>
    <x v="2"/>
    <m/>
    <m/>
    <x v="10"/>
    <x v="2"/>
    <m/>
    <m/>
    <m/>
    <m/>
    <m/>
    <m/>
    <m/>
    <m/>
    <m/>
    <m/>
    <m/>
    <m/>
    <m/>
    <m/>
    <x v="77"/>
    <m/>
    <x v="8"/>
    <m/>
  </r>
  <r>
    <x v="2"/>
    <m/>
    <m/>
    <x v="10"/>
    <x v="2"/>
    <m/>
    <m/>
    <m/>
    <m/>
    <m/>
    <m/>
    <m/>
    <m/>
    <m/>
    <m/>
    <m/>
    <m/>
    <m/>
    <m/>
    <x v="77"/>
    <m/>
    <x v="8"/>
    <m/>
  </r>
  <r>
    <x v="2"/>
    <m/>
    <m/>
    <x v="10"/>
    <x v="2"/>
    <m/>
    <m/>
    <m/>
    <m/>
    <m/>
    <m/>
    <m/>
    <m/>
    <m/>
    <m/>
    <m/>
    <m/>
    <m/>
    <m/>
    <x v="77"/>
    <m/>
    <x v="8"/>
    <m/>
  </r>
  <r>
    <x v="2"/>
    <m/>
    <m/>
    <x v="10"/>
    <x v="2"/>
    <m/>
    <m/>
    <m/>
    <m/>
    <m/>
    <m/>
    <m/>
    <m/>
    <m/>
    <m/>
    <m/>
    <m/>
    <m/>
    <m/>
    <x v="77"/>
    <m/>
    <x v="8"/>
    <m/>
  </r>
  <r>
    <x v="2"/>
    <m/>
    <m/>
    <x v="10"/>
    <x v="2"/>
    <m/>
    <m/>
    <m/>
    <m/>
    <m/>
    <m/>
    <m/>
    <m/>
    <m/>
    <m/>
    <m/>
    <m/>
    <m/>
    <m/>
    <x v="77"/>
    <m/>
    <x v="8"/>
    <m/>
  </r>
  <r>
    <x v="2"/>
    <m/>
    <m/>
    <x v="10"/>
    <x v="2"/>
    <m/>
    <m/>
    <m/>
    <m/>
    <m/>
    <m/>
    <m/>
    <m/>
    <m/>
    <m/>
    <m/>
    <m/>
    <m/>
    <m/>
    <x v="77"/>
    <m/>
    <x v="8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s v="TEM"/>
    <d v="2025-12-01T00:00:00"/>
    <x v="0"/>
    <s v="2025-M12"/>
    <n v="2025"/>
    <s v="SAMIRA"/>
    <s v="NORMALE"/>
    <s v="INTÉGRATION"/>
    <s v="Intégration"/>
    <s v="LECLANCHÉ"/>
    <s v="LECLANCHÉ"/>
    <s v="FNM+AGC+INTEGR"/>
    <d v="1899-12-30T12:00:00"/>
    <d v="1899-12-30T23:00:00"/>
    <n v="59"/>
    <n v="1"/>
    <s v="1LECLANCHÉTEMARA"/>
    <n v="4.9079257159331154E-2"/>
    <s v="Rupture approvisionnement"/>
    <s v="Manque bussbart LEC455, disjoncteur LEC281, vis LEC0466 et LEC0869"/>
    <x v="0"/>
    <s v="NAOUFEL"/>
  </r>
  <r>
    <x v="0"/>
    <s v="TEM"/>
    <d v="2025-12-05T00:00:00"/>
    <x v="0"/>
    <s v="2025-M12"/>
    <n v="2025"/>
    <s v="DAHAB"/>
    <s v="NORMALE"/>
    <s v="FERMETURE ULTRASON"/>
    <s v="T4662-01"/>
    <s v="ABB"/>
    <s v="ABB"/>
    <n v="5001"/>
    <d v="1899-12-30T12:00:00"/>
    <d v="1899-12-30T18:00:00"/>
    <n v="6"/>
    <n v="1"/>
    <s v="1ABBTEMARA"/>
    <n v="1.0455206131078223E-2"/>
    <s v="Défaut d'aspect / Finition"/>
    <s v="Excès de bavure"/>
    <x v="1"/>
    <s v="NAOUFEL"/>
  </r>
  <r>
    <x v="0"/>
    <s v="TEM"/>
    <d v="2025-12-08T00:00:00"/>
    <x v="1"/>
    <s v="2025-M12"/>
    <n v="2025"/>
    <s v="DAHAB"/>
    <s v="NORMALE"/>
    <s v="FERMETURE ULTRASON"/>
    <s v="T4662-01"/>
    <s v="ABB"/>
    <s v="ABB"/>
    <n v="5012"/>
    <d v="1899-12-30T08:30:00"/>
    <d v="1899-12-30T16:30:00"/>
    <n v="8.0000000000000142"/>
    <n v="1"/>
    <s v="1ABBTEMARA"/>
    <n v="1.3940274841437656E-2"/>
    <s v="Non-conformité structurelle"/>
    <s v="Fissure"/>
    <x v="1"/>
    <s v="NAOUFEL"/>
  </r>
  <r>
    <x v="0"/>
    <s v="TEM"/>
    <d v="2025-12-11T00:00:00"/>
    <x v="1"/>
    <s v="2025-M12"/>
    <n v="2025"/>
    <s v="SAMIRA"/>
    <s v="NORMALE"/>
    <s v="SERTISSAGE GROSSE SECTION"/>
    <s v="Pince hudraulique TR1462 T 402"/>
    <s v="LECLANCHÉ"/>
    <s v="LECLANCHÉ"/>
    <s v="LEC0000088"/>
    <d v="1899-12-30T10:00:00"/>
    <d v="1899-12-30T15:00:00"/>
    <n v="5.0000000000000142"/>
    <n v="1"/>
    <s v="1LECLANCHÉTEMARA"/>
    <n v="4.1592590812992627E-3"/>
    <s v="Casse mécanique sur produit"/>
    <s v="Tige de verrouillage cassée"/>
    <x v="1"/>
    <s v="NAOUFEL"/>
  </r>
  <r>
    <x v="0"/>
    <s v="TEM"/>
    <d v="2025-12-12T00:00:00"/>
    <x v="1"/>
    <s v="2025-M12"/>
    <n v="2025"/>
    <s v="DAHAB"/>
    <s v="NORMALE"/>
    <s v="FERMETURE ULTRASON"/>
    <s v="T4662-01"/>
    <s v="ABB"/>
    <s v="ABB"/>
    <n v="5012"/>
    <d v="1899-12-30T11:00:00"/>
    <d v="1899-12-30T12:00:00"/>
    <n v="0.99999999999998579"/>
    <n v="1"/>
    <s v="1ABBTEMARA"/>
    <n v="1.7425343551796793E-3"/>
    <s v="Non-conformité structurelle"/>
    <s v="Fissure"/>
    <x v="1"/>
    <s v="NAOUFEL"/>
  </r>
  <r>
    <x v="0"/>
    <s v="TEM"/>
    <d v="2025-12-15T00:00:00"/>
    <x v="2"/>
    <s v="2025-M12"/>
    <n v="2025"/>
    <s v="ANAS"/>
    <s v="NORMALE"/>
    <s v="TEST"/>
    <s v="T5008-19"/>
    <s v="IES"/>
    <s v="LE RESTE"/>
    <s v="Tower"/>
    <d v="1899-12-30T12:20:00"/>
    <d v="1899-12-30T17:30:00"/>
    <n v="5.166666666666643"/>
    <n v="1"/>
    <s v="1LE RESTETEMARA"/>
    <n v="1.1202471330642526E-2"/>
    <s v="Interruption flux opératoire"/>
    <s v="Blocage à l'étape Carte module"/>
    <x v="2"/>
    <s v="NAOUFAL + PAUL"/>
  </r>
  <r>
    <x v="0"/>
    <s v="TEM"/>
    <d v="2025-12-16T00:00:00"/>
    <x v="2"/>
    <s v="2025-M12"/>
    <n v="2025"/>
    <s v="DAHAB"/>
    <s v="NORMALE"/>
    <s v="FERMETURE ULTRASON"/>
    <s v="T4662-01"/>
    <s v="ABB"/>
    <s v="ABB"/>
    <n v="5005"/>
    <d v="1899-12-30T09:15:00"/>
    <d v="1899-12-30T10:15:00"/>
    <n v="1.0000000000000284"/>
    <n v="1"/>
    <s v="1ABBTEMARA"/>
    <n v="1.7425343551797535E-3"/>
    <s v="Défaut traitement de surface"/>
    <s v="Défaut de plaquage du plaquage"/>
    <x v="1"/>
    <s v="NAOUFEL"/>
  </r>
  <r>
    <x v="0"/>
    <s v="TEM"/>
    <d v="2025-12-18T00:00:00"/>
    <x v="2"/>
    <s v="2025-M12"/>
    <n v="2025"/>
    <s v="ANAS"/>
    <s v="NORMALE"/>
    <s v="TEST"/>
    <s v="T5008-19"/>
    <s v="IES"/>
    <s v="LE RESTE"/>
    <s v="Tower"/>
    <d v="1899-12-30T09:00:00"/>
    <d v="1899-12-30T11:00:00"/>
    <n v="2.0000000000000142"/>
    <n v="1"/>
    <s v="1LE RESTETEMARA"/>
    <n v="4.33644051508748E-3"/>
    <s v="Interruption flux opératoire"/>
    <s v="Blocage à l'étape Carte module"/>
    <x v="2"/>
    <s v="ABDELLAH/ANAS"/>
  </r>
  <r>
    <x v="0"/>
    <s v="TEM"/>
    <d v="2025-12-19T00:00:00"/>
    <x v="2"/>
    <s v="2025-M12"/>
    <n v="2025"/>
    <s v="DAHAB"/>
    <s v="NORMALE"/>
    <s v="TEST"/>
    <s v="PO70032"/>
    <s v="ABB"/>
    <s v="ABB"/>
    <n v="5018"/>
    <d v="1899-12-30T10:05:00"/>
    <d v="1899-12-30T16:00:00"/>
    <n v="5.916666666666643"/>
    <n v="1"/>
    <s v="1ABBTEMARA"/>
    <n v="1.0309994934813207E-2"/>
    <s v="Blocage accès logiciel"/>
    <s v="Problème du mot de passe"/>
    <x v="3"/>
    <s v="KARIM"/>
  </r>
  <r>
    <x v="0"/>
    <s v="TEM"/>
    <d v="2025-12-22T00:00:00"/>
    <x v="3"/>
    <s v="2025-M12"/>
    <n v="2025"/>
    <s v="DAHAB"/>
    <s v="NORMALE"/>
    <s v="FERMETURE ULTRASON"/>
    <s v="T4662-01"/>
    <s v="ABB"/>
    <s v="ABB"/>
    <n v="5036"/>
    <d v="1899-12-30T15:10:00"/>
    <d v="1899-12-30T15:43:00"/>
    <n v="0.55000000000001137"/>
    <n v="1"/>
    <s v="1ABBTEMARA"/>
    <n v="9.58393895348857E-4"/>
    <s v="Défaut traitement de surface"/>
    <s v="Problème du plaquage"/>
    <x v="1"/>
    <s v="NAOUFEL"/>
  </r>
  <r>
    <x v="0"/>
    <s v="TEM"/>
    <d v="2025-12-22T00:00:00"/>
    <x v="3"/>
    <s v="2025-M12"/>
    <n v="2025"/>
    <s v="DAHAB"/>
    <s v="NORMALE"/>
    <s v="TAMPOGRAPHIE"/>
    <s v="T4680-01"/>
    <s v="ABB"/>
    <s v="ABB"/>
    <n v="5040"/>
    <d v="1899-12-30T14:10:00"/>
    <d v="1899-12-30T15:40:00"/>
    <n v="1.5"/>
    <n v="1"/>
    <s v="1ABBTEMARA"/>
    <n v="2.6138015327695557E-3"/>
    <s v="Usure / Dégradation outillage"/>
    <s v="Taraudage foiré du support cliché"/>
    <x v="1"/>
    <s v="NAOUFEL"/>
  </r>
  <r>
    <x v="0"/>
    <s v="TEM"/>
    <d v="2025-12-22T00:00:00"/>
    <x v="3"/>
    <s v="2025-M12"/>
    <n v="2025"/>
    <s v="DAHAB"/>
    <s v="NORMALE"/>
    <s v="TEST"/>
    <s v="PO70032"/>
    <s v="ABB"/>
    <s v="ABB"/>
    <n v="5058"/>
    <d v="1899-12-30T09:00:00"/>
    <d v="1899-12-30T18:00:00"/>
    <n v="9"/>
    <n v="1"/>
    <s v="1ABBTEMARA"/>
    <n v="1.5682809196617336E-2"/>
    <s v="Panne matériel informatique"/>
    <s v="PC banc de test ne s'allume pas"/>
    <x v="1"/>
    <s v="NAOUFEL /MOUJAHID"/>
  </r>
  <r>
    <x v="0"/>
    <s v="TEM"/>
    <d v="2025-12-23T00:00:00"/>
    <x v="3"/>
    <s v="2025-M12"/>
    <n v="2025"/>
    <s v="DAHAB"/>
    <s v="NORMALE"/>
    <s v="TEST"/>
    <s v="PO70032"/>
    <s v="ABB"/>
    <s v="ABB"/>
    <n v="5012"/>
    <d v="1899-12-30T09:00:00"/>
    <d v="1899-12-30T18:00:00"/>
    <n v="9"/>
    <n v="1"/>
    <s v="1ABBTEMARA"/>
    <n v="1.5682809196617336E-2"/>
    <s v="Panne matériel informatique"/>
    <s v="PC banc de test ne s'allume pas"/>
    <x v="1"/>
    <s v="NAOUFEL /MOUJAHID"/>
  </r>
  <r>
    <x v="0"/>
    <s v="TEM"/>
    <d v="2025-12-23T00:00:00"/>
    <x v="3"/>
    <s v="2025-M12"/>
    <n v="2025"/>
    <s v="DAHAB"/>
    <s v="NORMALE"/>
    <s v="TAMPOGRAPHIE"/>
    <s v="T4680-01"/>
    <s v="ABB"/>
    <s v="ABB"/>
    <n v="5075"/>
    <d v="1899-12-30T08:30:00"/>
    <d v="1899-12-30T12:30:00"/>
    <n v="4.0000000000000284"/>
    <n v="1"/>
    <s v="1ABBTEMARA"/>
    <n v="6.9701374207188664E-3"/>
    <s v="Usure / Dégradation outillage"/>
    <s v="Taraudage foiré du support cliché"/>
    <x v="1"/>
    <s v="NAOUFEL"/>
  </r>
  <r>
    <x v="1"/>
    <s v="Bât B"/>
    <d v="2025-12-23T00:00:00"/>
    <x v="3"/>
    <s v="2025-M12"/>
    <n v="2025"/>
    <s v="OUMAIMA"/>
    <s v="MATIN"/>
    <s v="INTÉGRATION "/>
    <s v="Intégration 1"/>
    <s v="EDMI"/>
    <s v="EDMI"/>
    <s v="EDMES030CAD-00"/>
    <d v="1899-12-30T12:50:00"/>
    <d v="1899-12-30T14:00:00"/>
    <n v="1.1666666666666679"/>
    <n v="3"/>
    <s v="3EDMIBERRECHID"/>
    <n v="9.0392561983471164E-4"/>
    <s v="Échec lecture / Identification"/>
    <s v="Pb de scan sur la carte display EDM830-00144 qty 20 cartes_x000a_Pb de scan sur la carte ICHIS EDM830-00140 qty 85 cartes "/>
    <x v="2"/>
    <s v="ENCOURS DE TRAITEMENT PAR YOUNESS ADAM"/>
  </r>
  <r>
    <x v="1"/>
    <s v="Bât B"/>
    <d v="2025-12-24T00:00:00"/>
    <x v="3"/>
    <s v="2025-M12"/>
    <n v="2025"/>
    <s v="OUMAIMA"/>
    <s v="MATIN"/>
    <s v="INTÉGRATION "/>
    <s v="Intégration "/>
    <s v="EDMI"/>
    <s v="EDMI"/>
    <s v="EDMES030CAD-00"/>
    <d v="1899-12-30T06:00:00"/>
    <d v="1899-12-30T06:30:00"/>
    <n v="0.49999999999999956"/>
    <n v="3"/>
    <s v="3EDMIBERRECHID"/>
    <n v="3.8739669421487566E-4"/>
    <s v="Carence équipement de poste"/>
    <s v="Manque de moyens de travail (chariots, chaises, bacs)"/>
    <x v="2"/>
    <s v="DÉPANNAGE"/>
  </r>
  <r>
    <x v="1"/>
    <s v="Bât B"/>
    <d v="2025-12-24T00:00:00"/>
    <x v="3"/>
    <s v="2025-M12"/>
    <n v="2025"/>
    <s v="OUMAIMA"/>
    <s v="MATIN"/>
    <s v="INTÉGRATION "/>
    <s v="Intégration 1"/>
    <s v="EDMI"/>
    <s v="EDMI"/>
    <s v="EDMES030CAD-00"/>
    <d v="1899-12-30T08:00:00"/>
    <d v="1899-12-30T09:00:00"/>
    <n v="1.0000000000000004"/>
    <n v="3"/>
    <s v="3EDMIBERRECHID"/>
    <n v="7.747933884297523E-4"/>
    <s v="Incident édition / Marquage"/>
    <s v="Manque d'étiquette d'intégration (erreur impression, saut lot)"/>
    <x v="4"/>
    <s v="GOTNI "/>
  </r>
  <r>
    <x v="1"/>
    <s v="Bât B"/>
    <d v="2025-12-24T00:00:00"/>
    <x v="3"/>
    <s v="2025-M12"/>
    <n v="2025"/>
    <s v="OUMAIMA"/>
    <s v="MATIN"/>
    <s v="INTÉGRATION "/>
    <s v="Dégrappage "/>
    <s v="EDMI"/>
    <s v="EDMI"/>
    <s v="EDMES030CAD-00"/>
    <d v="1899-12-30T11:15:00"/>
    <d v="1899-12-30T11:35:00"/>
    <n v="0.33333333333333348"/>
    <n v="3"/>
    <s v="3EDMIBERRECHID"/>
    <n v="2.5826446280991742E-4"/>
    <s v="Rupture approvisionnement"/>
    <s v="Manque de carte display EDM830-00144 (retard transport)"/>
    <x v="0"/>
    <s v="BOUDRA"/>
  </r>
  <r>
    <x v="1"/>
    <s v="Bât B"/>
    <d v="2025-12-24T00:00:00"/>
    <x v="3"/>
    <s v="2025-M12"/>
    <n v="2025"/>
    <s v="OUMAIMA"/>
    <s v="MATIN"/>
    <s v="TEST UFT "/>
    <s v="Test UFT "/>
    <s v="EDMI"/>
    <s v="EDMI"/>
    <s v="EDMS010BXD-10-BRITIS:"/>
    <d v="1899-12-30T11:20:00"/>
    <d v="1899-12-30T12:00:00"/>
    <n v="0.66666666666666696"/>
    <n v="3"/>
    <s v="3EDMIBERRECHID"/>
    <n v="5.1652892561983483E-4"/>
    <s v="Réglage technique / Maintenance"/>
    <s v="Arrêt test UFT suite à l'intervention de service test"/>
    <x v="2"/>
    <s v="AMINE/SAID"/>
  </r>
  <r>
    <x v="1"/>
    <s v="Bât B"/>
    <d v="2025-12-24T00:00:00"/>
    <x v="3"/>
    <s v="2025-M12"/>
    <n v="2025"/>
    <s v="TARIK"/>
    <s v="APM"/>
    <s v="TEST ICT"/>
    <s v="Testeur ICT"/>
    <s v="EDMI"/>
    <s v="EDMI"/>
    <s v="EDMES030CAD-00"/>
    <d v="1899-12-30T20:45:00"/>
    <d v="1899-12-30T21:30:00"/>
    <n v="0.75"/>
    <n v="3"/>
    <s v="3EDMIBERRECHID"/>
    <n v="5.8109504132231396E-4"/>
    <s v="Conflit interface de test"/>
    <s v="Pb lors du passage de la réf EDM830-00144 à l'ICT (interface)"/>
    <x v="2"/>
    <s v="SAID"/>
  </r>
  <r>
    <x v="1"/>
    <s v="Bât A"/>
    <d v="2025-12-24T00:00:00"/>
    <x v="3"/>
    <s v="2025-M12"/>
    <n v="2025"/>
    <s v="ISMAIL"/>
    <s v="APM"/>
    <s v="TEST"/>
    <s v="TAKAYA-9400"/>
    <s v="EMS"/>
    <s v="EMS"/>
    <s v="EMS-156"/>
    <d v="1899-12-30T16:00:00"/>
    <d v="1899-12-30T16:30:00"/>
    <n v="0.50000000000000089"/>
    <n v="2"/>
    <s v="2EMSBERRECHID"/>
    <n v="9.2975206611570419E-5"/>
    <s v="Défaillance électrique banc de  test"/>
    <s v="Prob Relay on-test"/>
    <x v="1"/>
    <s v="SLIMANE"/>
  </r>
  <r>
    <x v="1"/>
    <s v="Bât A"/>
    <d v="2025-12-24T00:00:00"/>
    <x v="3"/>
    <s v="2025-M12"/>
    <n v="2025"/>
    <s v="ISMAIL"/>
    <s v="APM"/>
    <s v="TEST"/>
    <s v="TAKAYA-9400"/>
    <s v="EMS"/>
    <s v="EMS"/>
    <s v="EMS-167"/>
    <d v="1899-12-30T20:00:00"/>
    <d v="1899-12-30T20:40:00"/>
    <n v="0.66666666666666696"/>
    <n v="2"/>
    <s v="2EMSBERRECHID"/>
    <n v="1.2396694214876041E-4"/>
    <s v="Bug logiciel machine CMS"/>
    <s v="Bug de la machine Takaya-9400"/>
    <x v="1"/>
    <s v="INTERVENTION A DISTANCE_x000a_( ISMAIL )"/>
  </r>
  <r>
    <x v="1"/>
    <s v="Bât A"/>
    <d v="2025-12-25T00:00:00"/>
    <x v="3"/>
    <s v="2025-M12"/>
    <n v="2025"/>
    <s v="ISMAIL"/>
    <s v="MATIN"/>
    <s v="TEST"/>
    <s v="Test Fonctionnel "/>
    <s v="MERCK"/>
    <s v="LE RESTE"/>
    <s v="MEMMERPF08040"/>
    <d v="1899-12-30T11:50:00"/>
    <d v="1899-12-30T18:00:00"/>
    <n v="6.1666666666666661"/>
    <n v="2"/>
    <s v="2LE RESTEBERRECHID"/>
    <n v="2.388946280991735E-3"/>
    <s v="Dérive process (Nettoyage)"/>
    <s v="Détection de 4 cartes successives en défaut (Index : 47)"/>
    <x v="2"/>
    <s v="INTERVENTION DE ( SAID + ISMAIL : VALIDATION DE ADEL ) "/>
  </r>
  <r>
    <x v="1"/>
    <s v="Bât B"/>
    <d v="2025-12-26T00:00:00"/>
    <x v="3"/>
    <s v="2025-M12"/>
    <n v="2025"/>
    <s v="OUMAIMA"/>
    <s v="MATIN"/>
    <s v="INTÉGRATION "/>
    <s v="Intégration "/>
    <s v="EDMI"/>
    <s v="EDMI"/>
    <s v="EDMS010BXD-10-BRITIS:"/>
    <d v="1899-12-30T09:30:00"/>
    <d v="1899-12-30T11:00:00"/>
    <n v="1.5"/>
    <n v="3"/>
    <s v="3EDMIBERRECHID"/>
    <n v="1.1621900826446279E-3"/>
    <s v="Panne mécanique convoyage"/>
    <s v="Dysfonctionnement de convoyeur de posage d'intégration"/>
    <x v="1"/>
    <s v="SLIMANE "/>
  </r>
  <r>
    <x v="1"/>
    <s v="Bât A"/>
    <d v="2025-12-22T00:00:00"/>
    <x v="3"/>
    <s v="2025-M12"/>
    <n v="2025"/>
    <s v="KNIDAR"/>
    <s v="NUIT"/>
    <s v="CMS"/>
    <s v="LIGNE 2"/>
    <s v="EDMI"/>
    <s v="EDMI"/>
    <s v="EDM830-010-107BRTISH"/>
    <d v="1899-12-30T22:00:00"/>
    <d v="1899-12-30T22:36:00"/>
    <n v="0.60000000000000053"/>
    <n v="3"/>
    <s v="3EDMIBERRECHID"/>
    <n v="4.6487603305785162E-4"/>
    <s v="Changement de série (Setup)"/>
    <s v="Recherche Bobine + chargement (Mq Séquenceur)"/>
    <x v="0"/>
    <s v="AYOUB"/>
  </r>
  <r>
    <x v="1"/>
    <s v="Bât A"/>
    <d v="2025-12-22T00:00:00"/>
    <x v="3"/>
    <s v="2025-M12"/>
    <n v="2025"/>
    <s v="KNIDAR"/>
    <s v="APM"/>
    <s v="CMS"/>
    <s v="LIGNE 2"/>
    <s v="EDMI"/>
    <s v="EDMI"/>
    <s v="EDM830-010-107BRTISH"/>
    <d v="1899-12-30T14:00:00"/>
    <d v="1899-12-30T14:36:00"/>
    <n v="0.60000000000000053"/>
    <n v="3"/>
    <s v="3EDMIBERRECHID"/>
    <n v="4.6487603305785162E-4"/>
    <s v="Changement de série (Setup)"/>
    <s v="Recherche Bobine + chargement (Manque séquenceur)"/>
    <x v="0"/>
    <s v="MEHDI"/>
  </r>
  <r>
    <x v="1"/>
    <s v="Bât A"/>
    <d v="2025-12-23T00:00:00"/>
    <x v="3"/>
    <s v="2025-M12"/>
    <n v="2025"/>
    <s v="KNIDAR"/>
    <s v="NUIT"/>
    <s v="CMS"/>
    <s v="LIGNE 2"/>
    <s v="EDMI"/>
    <s v="EDMI"/>
    <s v="EDM830-010-107BRTISH"/>
    <d v="1899-12-30T22:00:00"/>
    <d v="1899-12-30T22:36:00"/>
    <n v="0.60000000000000053"/>
    <n v="3"/>
    <s v="3EDMIBERRECHID"/>
    <n v="4.6487603305785162E-4"/>
    <s v="Changement de série (Setup)"/>
    <s v="Recherche Bobine + chargement (Mq Séquenceur)"/>
    <x v="0"/>
    <s v="AYOUB"/>
  </r>
  <r>
    <x v="1"/>
    <s v="Bât A"/>
    <d v="2025-12-23T00:00:00"/>
    <x v="3"/>
    <s v="2025-M12"/>
    <n v="2025"/>
    <s v="KNIDAR"/>
    <s v="MATIN"/>
    <s v="CMS"/>
    <s v="LIGNE 2"/>
    <s v="EDMI"/>
    <s v="EDMI"/>
    <s v="EDM830-010-107BRTISH"/>
    <d v="1899-12-30T06:00:00"/>
    <d v="1899-12-30T06:24:00"/>
    <n v="0.39999999999999991"/>
    <n v="3"/>
    <s v="3EDMIBERRECHID"/>
    <n v="3.0991735537190074E-4"/>
    <s v="Changement de série (Setup)"/>
    <s v="Recherche Bobine + chargement (Manque séquenceur)"/>
    <x v="0"/>
    <s v="BRAHIM"/>
  </r>
  <r>
    <x v="1"/>
    <s v="Bât A"/>
    <d v="2025-12-23T00:00:00"/>
    <x v="3"/>
    <s v="2025-M12"/>
    <n v="2025"/>
    <s v="KHADIM"/>
    <s v="APM"/>
    <s v="CMS"/>
    <s v="LIGNE 2"/>
    <s v="EDMI"/>
    <s v="EDMI"/>
    <s v="EDM830-010-107BRTISH"/>
    <d v="1899-12-30T06:00:00"/>
    <d v="1899-12-30T06:24:00"/>
    <n v="0.39999999999999991"/>
    <n v="3"/>
    <s v="3EDMIBERRECHID"/>
    <n v="3.0991735537190074E-4"/>
    <s v="Changement de série (Setup)"/>
    <s v="Recherche Bobine + chargement (Manque séquenceur)"/>
    <x v="0"/>
    <s v="MEHDI"/>
  </r>
  <r>
    <x v="1"/>
    <s v="Bât A"/>
    <d v="2025-12-23T00:00:00"/>
    <x v="3"/>
    <s v="2025-M12"/>
    <n v="2025"/>
    <s v="KNIDAR"/>
    <s v="MATIN"/>
    <s v="CMS"/>
    <s v="LIGNE 2"/>
    <s v="EDMI"/>
    <s v="EDMI"/>
    <s v="EDM830-010-107BRTISH"/>
    <d v="1899-12-30T06:00:00"/>
    <d v="1899-12-30T06:24:00"/>
    <n v="0.39999999999999991"/>
    <n v="3"/>
    <s v="3EDMIBERRECHID"/>
    <n v="3.0991735537190074E-4"/>
    <s v="Apprentissage / Baisse cadence"/>
    <s v="PILOTE de ligne en Formation"/>
    <x v="5"/>
    <s v="BRAHIM"/>
  </r>
  <r>
    <x v="1"/>
    <s v="Bât A"/>
    <d v="2025-12-23T00:00:00"/>
    <x v="3"/>
    <s v="2025-M12"/>
    <n v="2025"/>
    <s v="KNIDAR"/>
    <s v="APM"/>
    <s v="CMS"/>
    <s v="LIGNE 2"/>
    <s v="EDMI"/>
    <s v="EDMI"/>
    <s v="EDM830-010-107BRTISH"/>
    <d v="1899-12-30T14:00:00"/>
    <d v="1899-12-30T14:30:00"/>
    <n v="0.50000000000000089"/>
    <n v="3"/>
    <s v="3EDMIBERRECHID"/>
    <n v="3.8739669421487669E-4"/>
    <s v="Remplacement de poste"/>
    <s v="PILOTE de ligne en Formation (remplacement du départ)"/>
    <x v="5"/>
    <s v="KHADIM"/>
  </r>
  <r>
    <x v="1"/>
    <s v="Bât A"/>
    <d v="2025-12-24T00:00:00"/>
    <x v="3"/>
    <s v="2025-M12"/>
    <n v="2025"/>
    <s v="KNIDAR"/>
    <s v="NUIT"/>
    <s v="CMS"/>
    <s v="LIGNE 2"/>
    <s v="EDMI"/>
    <s v="EDMI"/>
    <s v="EDM830-010-107BRTISH"/>
    <d v="1899-12-30T22:00:00"/>
    <d v="1899-12-30T22:24:00"/>
    <n v="0.40000000000000124"/>
    <n v="3"/>
    <s v="3EDMIBERRECHID"/>
    <n v="3.0991735537190177E-4"/>
    <s v="Changement de série (Setup)"/>
    <s v="Recherche Bobine + chargement (Mq Séquenceur)"/>
    <x v="0"/>
    <s v="AYOUB"/>
  </r>
  <r>
    <x v="1"/>
    <s v="Bât A"/>
    <d v="2025-12-24T00:00:00"/>
    <x v="3"/>
    <s v="2025-M12"/>
    <n v="2025"/>
    <s v="KNIDAR"/>
    <s v="MATIN"/>
    <s v="CMS"/>
    <s v="LIGNE 2"/>
    <s v="EDMI"/>
    <s v="EDMI"/>
    <s v="EDM830-010-107BRTISH"/>
    <d v="1899-12-30T06:00:00"/>
    <d v="1899-12-30T06:24:00"/>
    <n v="0.39999999999999991"/>
    <n v="3"/>
    <s v="3EDMIBERRECHID"/>
    <n v="3.0991735537190074E-4"/>
    <s v="Arrêt énergie général"/>
    <s v="Coupure électrique"/>
    <x v="1"/>
    <s v="BATAR"/>
  </r>
  <r>
    <x v="1"/>
    <s v="Bât A"/>
    <d v="2025-12-24T00:00:00"/>
    <x v="3"/>
    <s v="2025-M12"/>
    <n v="2025"/>
    <s v="KNIDAR"/>
    <s v="APM"/>
    <s v="CMS"/>
    <s v="LIGNE 2"/>
    <s v="EDMI"/>
    <s v="EDMI"/>
    <s v="EDM830-010-107BRTISH"/>
    <d v="1899-12-30T14:00:00"/>
    <d v="1899-12-30T14:30:00"/>
    <n v="0.50000000000000089"/>
    <n v="3"/>
    <s v="3EDMIBERRECHID"/>
    <n v="3.8739669421487669E-4"/>
    <s v="Changement de série (Setup)"/>
    <s v="Recherche Bobine + chargement (Manque séquenceur)"/>
    <x v="0"/>
    <s v="MEHDI"/>
  </r>
  <r>
    <x v="1"/>
    <s v="Bât A"/>
    <d v="2025-12-24T00:00:00"/>
    <x v="3"/>
    <s v="2025-M12"/>
    <n v="2025"/>
    <s v="KNIDAR"/>
    <s v="APM"/>
    <s v="CMS"/>
    <s v="LIGNE 2"/>
    <s v="EDMI"/>
    <s v="EDMI"/>
    <s v="EDM830-010-107BRTISH"/>
    <d v="1899-12-30T14:00:00"/>
    <d v="1899-12-30T15:00:00"/>
    <n v="0.99999999999999911"/>
    <n v="3"/>
    <s v="3EDMIBERRECHID"/>
    <n v="7.7479338842975133E-4"/>
    <s v="Remplacement de poste"/>
    <s v="PILOTE de ligne en Formation (remplacement du départ)"/>
    <x v="5"/>
    <s v="KHADIM"/>
  </r>
  <r>
    <x v="1"/>
    <s v="Bât A"/>
    <d v="2025-12-25T00:00:00"/>
    <x v="3"/>
    <s v="2025-M12"/>
    <n v="2025"/>
    <s v="KNIDAR"/>
    <s v="NUIT"/>
    <s v="CMS"/>
    <s v="LIGNE 2"/>
    <s v="EDMI"/>
    <s v="EDMI"/>
    <s v="EDM830-010-107BRTISH"/>
    <d v="1899-12-30T22:00:00"/>
    <d v="1899-12-30T22:24:00"/>
    <n v="0.40000000000000124"/>
    <n v="3"/>
    <s v="3EDMIBERRECHID"/>
    <n v="3.0991735537190177E-4"/>
    <s v="Changement de série (Setup)"/>
    <s v="Recherche Bobine + chargement (Mq Séquenceur)"/>
    <x v="0"/>
    <s v="AYOUB"/>
  </r>
  <r>
    <x v="1"/>
    <s v="Bât A"/>
    <d v="2025-12-25T00:00:00"/>
    <x v="3"/>
    <s v="2025-M12"/>
    <n v="2025"/>
    <s v="KNIDAR"/>
    <s v="NUIT"/>
    <s v="CMS"/>
    <s v="LIGNE 2"/>
    <s v="EDMI"/>
    <s v="EDMI"/>
    <s v="EDM830-010-107BRTISH"/>
    <d v="1899-12-30T22:00:00"/>
    <d v="1899-12-30T23:42:00"/>
    <n v="1.6999999999999993"/>
    <n v="3"/>
    <s v="3EDMIBERRECHID"/>
    <n v="1.3171487603305778E-3"/>
    <s v="Changement de série (Setup)"/>
    <s v="Recherche Bobine + chargement (Manque séquenceur)"/>
    <x v="0"/>
    <s v="BRAHIM"/>
  </r>
  <r>
    <x v="1"/>
    <s v="Bât A"/>
    <d v="2025-12-25T00:00:00"/>
    <x v="3"/>
    <s v="2025-M12"/>
    <n v="2025"/>
    <s v="KNIDAR"/>
    <s v="NUIT"/>
    <s v="CMS"/>
    <s v="LIGNE 2"/>
    <s v="EDMI"/>
    <s v="EDMI"/>
    <s v="EDM830-010-107BRTISH"/>
    <d v="1899-12-30T22:00:00"/>
    <d v="1899-12-30T22:36:00"/>
    <n v="0.60000000000000053"/>
    <n v="3"/>
    <s v="3EDMIBERRECHID"/>
    <n v="4.6487603305785162E-4"/>
    <s v="Changement de série (Setup)"/>
    <s v="Recherche Bobine + chargement (Manque séquenceur)"/>
    <x v="0"/>
    <s v="MEHDI"/>
  </r>
  <r>
    <x v="1"/>
    <s v="Bât A"/>
    <d v="2025-12-25T00:00:00"/>
    <x v="3"/>
    <s v="2025-M12"/>
    <n v="2025"/>
    <s v="KNIDAR"/>
    <s v="APM"/>
    <s v="CMS"/>
    <s v="LIGNE 2"/>
    <s v="EDMI"/>
    <s v="EDMI"/>
    <s v="EDM830-010-107BRTISH"/>
    <d v="1899-12-30T14:00:00"/>
    <d v="1899-12-30T14:36:00"/>
    <n v="0.60000000000000053"/>
    <n v="3"/>
    <s v="3EDMIBERRECHID"/>
    <n v="4.6487603305785162E-4"/>
    <s v="Remplacement de poste"/>
    <s v="PILOTE de ligne en Formation (remplacement du départ)"/>
    <x v="5"/>
    <s v="KHADIM"/>
  </r>
  <r>
    <x v="1"/>
    <s v="Bât A"/>
    <d v="2025-12-26T00:00:00"/>
    <x v="3"/>
    <s v="2025-M12"/>
    <n v="2025"/>
    <s v="KNIDAR"/>
    <s v="NUIT"/>
    <s v="CMS"/>
    <s v="LIGNE 2"/>
    <s v="EDMI"/>
    <s v="EDMI"/>
    <s v="EDM830-010-107BRTISH"/>
    <d v="1899-12-30T14:00:00"/>
    <d v="1899-12-30T22:00:00"/>
    <n v="7.9999999999999982"/>
    <n v="3"/>
    <s v="3EDMIBERRECHID"/>
    <n v="6.198347107438015E-3"/>
    <s v="Changement de série (Setup)"/>
    <s v="Basculement ligne sur ES12B (Mq Feeders)"/>
    <x v="0"/>
    <s v="HOUSSAM"/>
  </r>
  <r>
    <x v="1"/>
    <s v="Bât A"/>
    <d v="2025-12-26T00:00:00"/>
    <x v="3"/>
    <s v="2025-M12"/>
    <n v="2025"/>
    <s v="KNIDAR"/>
    <s v="MATIN"/>
    <s v="CMS"/>
    <s v="LIGNE 2"/>
    <s v="EDMI"/>
    <s v="EDMI"/>
    <s v="EDM830-010-107BRTISH"/>
    <d v="1899-12-30T14:00:00"/>
    <d v="1899-12-30T22:00:00"/>
    <n v="7.9999999999999982"/>
    <n v="3"/>
    <s v="3EDMIBERRECHID"/>
    <n v="6.198347107438015E-3"/>
    <s v="Changement de série (Setup)"/>
    <s v="Basculement ligne sur ES12B (Mq Feeders)"/>
    <x v="0"/>
    <s v="HOUSSAM"/>
  </r>
  <r>
    <x v="1"/>
    <s v="Bât A"/>
    <d v="2025-12-26T00:00:00"/>
    <x v="3"/>
    <s v="2025-M12"/>
    <n v="2025"/>
    <s v="KNIDAR"/>
    <s v="APM"/>
    <s v="CMS"/>
    <s v="LIGNE 3"/>
    <s v="EDMI"/>
    <s v="EDMI"/>
    <s v="EDM830-010-107BRTISH"/>
    <d v="1899-12-30T14:00:00"/>
    <d v="1899-12-30T22:00:00"/>
    <n v="7.9999999999999982"/>
    <n v="3"/>
    <s v="3EDMIBERRECHID"/>
    <n v="6.198347107438015E-3"/>
    <s v="Changement de série (Setup)"/>
    <s v="Basculement ligne sur ES12B (Manque feeders)"/>
    <x v="0"/>
    <s v="HOUSSAM"/>
  </r>
  <r>
    <x v="1"/>
    <s v="Bât B"/>
    <d v="2025-12-27T00:00:00"/>
    <x v="3"/>
    <s v="2025-M12"/>
    <n v="2025"/>
    <s v="TARIK"/>
    <s v="APM"/>
    <s v="POSTE LASER "/>
    <s v="Poste Laser "/>
    <s v="EDMI"/>
    <s v="EDMI"/>
    <s v="EDMES010BAU10"/>
    <d v="1899-12-30T21:00:00"/>
    <d v="1899-12-30T21:24:36"/>
    <n v="0.41000000000000014"/>
    <n v="3"/>
    <s v="3EDMIBERRECHID"/>
    <n v="3.1766528925619838E-4"/>
    <s v="Erreur de sérialisation"/>
    <s v="9 Produits ayant le même marquage ASSET TAG"/>
    <x v="2"/>
    <s v="ADAM"/>
  </r>
  <r>
    <x v="1"/>
    <s v="Bât B"/>
    <d v="2025-12-27T00:00:00"/>
    <x v="3"/>
    <s v="2025-M12"/>
    <n v="2025"/>
    <s v="SALAH"/>
    <s v="NUIT"/>
    <s v="INTÉGRATION "/>
    <s v="Intégration "/>
    <s v="EDMI"/>
    <s v="EDMI"/>
    <s v="EDMS010BXD-10-BRITIS:"/>
    <d v="1899-12-30T20:30:00"/>
    <d v="1899-12-30T21:00:00"/>
    <n v="0.50000000000000089"/>
    <n v="3"/>
    <s v="3EDMIBERRECHID"/>
    <n v="3.8739669421487669E-4"/>
    <s v="Panne mécanique convoyage"/>
    <s v="Dégradation de convoyeur de posage d'intégration"/>
    <x v="1"/>
    <s v="BATAR"/>
  </r>
  <r>
    <x v="1"/>
    <s v="Bât B"/>
    <d v="2025-12-27T00:00:00"/>
    <x v="3"/>
    <s v="2025-M12"/>
    <n v="2025"/>
    <s v="OUMAIMA"/>
    <s v="MATIN"/>
    <s v="INTÉGRATION "/>
    <s v="Intégration "/>
    <s v="EDMI"/>
    <s v="EDMI"/>
    <s v="EDMS010BXD-10-BRITIS:"/>
    <d v="1899-12-30T06:00:00"/>
    <d v="1899-12-30T06:30:00"/>
    <n v="0.50000000000000022"/>
    <n v="3"/>
    <s v="3EDMIBERRECHID"/>
    <n v="3.8739669421487615E-4"/>
    <s v="Panne mécanique convoyage"/>
    <s v="Dysfonctionnement de convoyeur de posage d'intégration"/>
    <x v="1"/>
    <s v="BATAR"/>
  </r>
  <r>
    <x v="1"/>
    <s v="Bât B"/>
    <d v="2025-12-27T00:00:00"/>
    <x v="3"/>
    <s v="2025-M12"/>
    <n v="2025"/>
    <s v="OUMAIMA"/>
    <s v="MATIN"/>
    <s v="FINITION"/>
    <s v="Finition"/>
    <s v="EDMI"/>
    <s v="EDMI"/>
    <s v="EDM830-010-107BRTIS:"/>
    <d v="1899-12-30T09:00:00"/>
    <d v="1899-12-30T11:27:00"/>
    <n v="2.4500000000000006"/>
    <n v="3"/>
    <s v="3EDMIBERRECHID"/>
    <n v="1.8982438016528929E-3"/>
    <s v="Incident environnemental"/>
    <s v="Présence d'eau sur les postes de travail"/>
    <x v="1"/>
    <s v="BATAR"/>
  </r>
  <r>
    <x v="1"/>
    <s v="Bât A"/>
    <d v="2025-12-26T00:00:00"/>
    <x v="3"/>
    <s v="2025-M12"/>
    <n v="2025"/>
    <s v="KNIDAR"/>
    <s v="APM"/>
    <s v="CMS"/>
    <s v="LIGNE 2"/>
    <s v="EDMI"/>
    <s v="EDMI"/>
    <s v="EDM830-013-152"/>
    <d v="1899-12-30T06:00:00"/>
    <d v="1899-12-30T14:00:00"/>
    <n v="7.9999999999999982"/>
    <n v="3"/>
    <s v="3EDMIBERRECHID"/>
    <n v="6.198347107438015E-3"/>
    <s v="Perte efficience changement"/>
    <s v="Déchargement ED10B et chargement ES12B (prog non optimisé)"/>
    <x v="2"/>
    <s v="ABOUELWAFA+KNIDAR+KHADIM"/>
  </r>
  <r>
    <x v="1"/>
    <s v="Bât A"/>
    <d v="2025-12-27T00:00:00"/>
    <x v="3"/>
    <s v="2025-M12"/>
    <n v="2025"/>
    <s v="KNIDAR"/>
    <s v="MATIN"/>
    <s v="CMS"/>
    <s v="LIGNE 2"/>
    <s v="EDMI"/>
    <s v="EDMI"/>
    <s v="EDM830-013-152"/>
    <d v="1899-12-30T08:00:00"/>
    <d v="1899-12-30T13:45:00"/>
    <n v="5.7500000000000009"/>
    <n v="3"/>
    <s v="3EDMIBERRECHID"/>
    <n v="4.4550619834710752E-3"/>
    <s v="Écart stock physique/système"/>
    <s v="Décalage composants + écart quantité Cogiscan (48% prod)"/>
    <x v="2"/>
    <s v="ABOUELWAFA+KNIDAR+KHADIM"/>
  </r>
  <r>
    <x v="1"/>
    <s v="Bât A"/>
    <d v="2025-12-28T00:00:00"/>
    <x v="4"/>
    <s v="2025-M12"/>
    <n v="2025"/>
    <s v="KNIDAR"/>
    <s v="MATIN"/>
    <s v="CMS"/>
    <s v="LIGNE 2"/>
    <s v="EDMI"/>
    <s v="EDMI"/>
    <s v="EDM830-013-152"/>
    <d v="1899-12-30T10:00:00"/>
    <d v="1899-12-30T13:35:00"/>
    <n v="3.5833333333333326"/>
    <n v="3"/>
    <s v="3EDMIBERRECHID"/>
    <n v="2.7763429752066106E-3"/>
    <s v="Perte efficience changement"/>
    <s v="Programme non optimisé CMS + écart Cogiscan (65% prod)"/>
    <x v="2"/>
    <s v="ABOUELWAFA+KNIDAR+KHADIM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">
  <r>
    <x v="0"/>
    <x v="0"/>
    <d v="2025-12-01T00:00:00"/>
    <x v="0"/>
    <s v="2025-M12"/>
    <x v="0"/>
    <s v="SAMIRA"/>
    <s v="NORMALE"/>
    <s v="INTÉGRATION"/>
    <s v="Intégration"/>
    <x v="0"/>
    <s v="LECLANCHÉ"/>
    <s v="FNM+AGC+INTEGR"/>
    <d v="1899-12-30T12:00:00"/>
    <d v="1899-12-30T23:00:00"/>
    <n v="59"/>
    <n v="1"/>
    <s v="1LECLANCHÉTEMARA"/>
    <n v="4.9079257159331154E-2"/>
    <s v="Rupture approvisionnement"/>
    <s v="Manque bussbart LEC455, disjoncteur LEC281, vis LEC0466 et LEC0869"/>
    <x v="0"/>
    <s v="NAOUFEL"/>
  </r>
  <r>
    <x v="0"/>
    <x v="0"/>
    <d v="2025-12-05T00:00:00"/>
    <x v="0"/>
    <s v="2025-M12"/>
    <x v="0"/>
    <s v="DAHAB"/>
    <s v="NORMALE"/>
    <s v="FERMETURE ULTRASON"/>
    <s v="T4662-01"/>
    <x v="1"/>
    <s v="ABB"/>
    <n v="5001"/>
    <d v="1899-12-30T12:00:00"/>
    <d v="1899-12-30T18:00:00"/>
    <n v="6"/>
    <n v="1"/>
    <s v="1ABBTEMARA"/>
    <n v="1.0455206131078223E-2"/>
    <s v="Défaut d'aspect / Finition"/>
    <s v="Excès de bavure"/>
    <x v="1"/>
    <s v="NAOUFEL"/>
  </r>
  <r>
    <x v="0"/>
    <x v="0"/>
    <d v="2025-12-08T00:00:00"/>
    <x v="1"/>
    <s v="2025-M12"/>
    <x v="0"/>
    <s v="DAHAB"/>
    <s v="NORMALE"/>
    <s v="FERMETURE ULTRASON"/>
    <s v="T4662-01"/>
    <x v="1"/>
    <s v="ABB"/>
    <n v="5012"/>
    <d v="1899-12-30T08:30:00"/>
    <d v="1899-12-30T16:30:00"/>
    <n v="8.0000000000000142"/>
    <n v="1"/>
    <s v="1ABBTEMARA"/>
    <n v="1.3940274841437656E-2"/>
    <s v="Non-conformité structurelle"/>
    <s v="Fissure"/>
    <x v="1"/>
    <s v="NAOUFEL"/>
  </r>
  <r>
    <x v="0"/>
    <x v="0"/>
    <d v="2025-12-11T00:00:00"/>
    <x v="1"/>
    <s v="2025-M12"/>
    <x v="0"/>
    <s v="SAMIRA"/>
    <s v="NORMALE"/>
    <s v="SERTISSAGE GROSSE SECTION"/>
    <s v="Pince hudraulique TR1462 T 402"/>
    <x v="0"/>
    <s v="LECLANCHÉ"/>
    <s v="LEC0000088"/>
    <d v="1899-12-30T10:00:00"/>
    <d v="1899-12-30T15:00:00"/>
    <n v="5.0000000000000142"/>
    <n v="1"/>
    <s v="1LECLANCHÉTEMARA"/>
    <n v="4.1592590812992627E-3"/>
    <s v="Casse mécanique sur produit"/>
    <s v="Tige de verrouillage cassée"/>
    <x v="1"/>
    <s v="NAOUFEL"/>
  </r>
  <r>
    <x v="0"/>
    <x v="0"/>
    <d v="2025-12-12T00:00:00"/>
    <x v="1"/>
    <s v="2025-M12"/>
    <x v="0"/>
    <s v="DAHAB"/>
    <s v="NORMALE"/>
    <s v="FERMETURE ULTRASON"/>
    <s v="T4662-01"/>
    <x v="1"/>
    <s v="ABB"/>
    <n v="5012"/>
    <d v="1899-12-30T11:00:00"/>
    <d v="1899-12-30T12:00:00"/>
    <n v="0.99999999999998579"/>
    <n v="1"/>
    <s v="1ABBTEMARA"/>
    <n v="1.7425343551796793E-3"/>
    <s v="Non-conformité structurelle"/>
    <s v="Fissure"/>
    <x v="1"/>
    <s v="NAOUFEL"/>
  </r>
  <r>
    <x v="0"/>
    <x v="0"/>
    <d v="2025-12-15T00:00:00"/>
    <x v="2"/>
    <s v="2025-M12"/>
    <x v="0"/>
    <s v="ANAS"/>
    <s v="NORMALE"/>
    <s v="TEST"/>
    <s v="T5008-19"/>
    <x v="2"/>
    <s v="LE RESTE"/>
    <s v="Tower"/>
    <d v="1899-12-30T12:20:00"/>
    <d v="1899-12-30T17:30:00"/>
    <n v="5.166666666666643"/>
    <n v="1"/>
    <s v="1LE RESTETEMARA"/>
    <n v="1.1202471330642526E-2"/>
    <s v="Interruption flux opératoire"/>
    <s v="Blocage à l'étape Carte module"/>
    <x v="2"/>
    <s v="NAOUFAL + PAUL"/>
  </r>
  <r>
    <x v="0"/>
    <x v="0"/>
    <d v="2025-12-16T00:00:00"/>
    <x v="2"/>
    <s v="2025-M12"/>
    <x v="0"/>
    <s v="DAHAB"/>
    <s v="NORMALE"/>
    <s v="FERMETURE ULTRASON"/>
    <s v="T4662-01"/>
    <x v="1"/>
    <s v="ABB"/>
    <n v="5005"/>
    <d v="1899-12-30T09:15:00"/>
    <d v="1899-12-30T10:15:00"/>
    <n v="1.0000000000000284"/>
    <n v="1"/>
    <s v="1ABBTEMARA"/>
    <n v="1.7425343551797535E-3"/>
    <s v="Défaut traitement de surface"/>
    <s v="Défaut de plaquage du plaquage"/>
    <x v="1"/>
    <s v="NAOUFEL"/>
  </r>
  <r>
    <x v="0"/>
    <x v="0"/>
    <d v="2025-12-18T00:00:00"/>
    <x v="2"/>
    <s v="2025-M12"/>
    <x v="0"/>
    <s v="ANAS"/>
    <s v="NORMALE"/>
    <s v="TEST"/>
    <s v="T5008-19"/>
    <x v="2"/>
    <s v="LE RESTE"/>
    <s v="Tower"/>
    <d v="1899-12-30T09:00:00"/>
    <d v="1899-12-30T11:00:00"/>
    <n v="2.0000000000000142"/>
    <n v="1"/>
    <s v="1LE RESTETEMARA"/>
    <n v="4.33644051508748E-3"/>
    <s v="Interruption flux opératoire"/>
    <s v="Blocage à l'étape Carte module"/>
    <x v="2"/>
    <s v="ABDELLAH/ANAS"/>
  </r>
  <r>
    <x v="0"/>
    <x v="0"/>
    <d v="2025-12-19T00:00:00"/>
    <x v="2"/>
    <s v="2025-M12"/>
    <x v="0"/>
    <s v="DAHAB"/>
    <s v="NORMALE"/>
    <s v="TEST"/>
    <s v="PO70032"/>
    <x v="1"/>
    <s v="ABB"/>
    <n v="5018"/>
    <d v="1899-12-30T10:05:00"/>
    <d v="1899-12-30T16:00:00"/>
    <n v="5.916666666666643"/>
    <n v="1"/>
    <s v="1ABBTEMARA"/>
    <n v="1.0309994934813207E-2"/>
    <s v="Blocage accès logiciel"/>
    <s v="Problème du mot de passe"/>
    <x v="3"/>
    <s v="KARIM"/>
  </r>
  <r>
    <x v="0"/>
    <x v="0"/>
    <d v="2025-12-22T00:00:00"/>
    <x v="3"/>
    <s v="2025-M12"/>
    <x v="0"/>
    <s v="DAHAB"/>
    <s v="NORMALE"/>
    <s v="FERMETURE ULTRASON"/>
    <s v="T4662-01"/>
    <x v="1"/>
    <s v="ABB"/>
    <n v="5036"/>
    <d v="1899-12-30T15:10:00"/>
    <d v="1899-12-30T15:43:00"/>
    <n v="0.55000000000001137"/>
    <n v="1"/>
    <s v="1ABBTEMARA"/>
    <n v="9.58393895348857E-4"/>
    <s v="Défaut traitement de surface"/>
    <s v="Problème du plaquage"/>
    <x v="1"/>
    <s v="NAOUFEL"/>
  </r>
  <r>
    <x v="0"/>
    <x v="0"/>
    <d v="2025-12-22T00:00:00"/>
    <x v="3"/>
    <s v="2025-M12"/>
    <x v="0"/>
    <s v="DAHAB"/>
    <s v="NORMALE"/>
    <s v="TAMPOGRAPHIE"/>
    <s v="T4680-01"/>
    <x v="1"/>
    <s v="ABB"/>
    <n v="5040"/>
    <d v="1899-12-30T14:10:00"/>
    <d v="1899-12-30T15:40:00"/>
    <n v="1.5"/>
    <n v="1"/>
    <s v="1ABBTEMARA"/>
    <n v="2.6138015327695557E-3"/>
    <s v="Usure / Dégradation outillage"/>
    <s v="Taraudage foiré du support cliché"/>
    <x v="1"/>
    <s v="NAOUFEL"/>
  </r>
  <r>
    <x v="0"/>
    <x v="0"/>
    <d v="2025-12-22T00:00:00"/>
    <x v="3"/>
    <s v="2025-M12"/>
    <x v="0"/>
    <s v="DAHAB"/>
    <s v="NORMALE"/>
    <s v="TEST"/>
    <s v="PO70032"/>
    <x v="1"/>
    <s v="ABB"/>
    <n v="5058"/>
    <d v="1899-12-30T09:00:00"/>
    <d v="1899-12-30T18:00:00"/>
    <n v="9"/>
    <n v="1"/>
    <s v="1ABBTEMARA"/>
    <n v="1.5682809196617336E-2"/>
    <s v="Panne matériel informatique"/>
    <s v="PC banc de test ne s'allume pas"/>
    <x v="1"/>
    <s v="NAOUFEL /MOUJAHID"/>
  </r>
  <r>
    <x v="0"/>
    <x v="0"/>
    <d v="2025-12-23T00:00:00"/>
    <x v="3"/>
    <s v="2025-M12"/>
    <x v="0"/>
    <s v="DAHAB"/>
    <s v="NORMALE"/>
    <s v="TEST"/>
    <s v="PO70032"/>
    <x v="1"/>
    <s v="ABB"/>
    <n v="5012"/>
    <d v="1899-12-30T09:00:00"/>
    <d v="1899-12-30T18:00:00"/>
    <n v="9"/>
    <n v="1"/>
    <s v="1ABBTEMARA"/>
    <n v="1.5682809196617336E-2"/>
    <s v="Panne matériel informatique"/>
    <s v="PC banc de test ne s'allume pas"/>
    <x v="1"/>
    <s v="NAOUFEL /MOUJAHID"/>
  </r>
  <r>
    <x v="0"/>
    <x v="0"/>
    <d v="2025-12-23T00:00:00"/>
    <x v="3"/>
    <s v="2025-M12"/>
    <x v="0"/>
    <s v="DAHAB"/>
    <s v="NORMALE"/>
    <s v="TAMPOGRAPHIE"/>
    <s v="T4680-01"/>
    <x v="1"/>
    <s v="ABB"/>
    <n v="5075"/>
    <d v="1899-12-30T08:30:00"/>
    <d v="1899-12-30T12:30:00"/>
    <n v="4.0000000000000284"/>
    <n v="1"/>
    <s v="1ABBTEMARA"/>
    <n v="6.9701374207188664E-3"/>
    <s v="Usure / Dégradation outillage"/>
    <s v="Taraudage foiré du support cliché"/>
    <x v="1"/>
    <s v="NAOUFEL"/>
  </r>
  <r>
    <x v="1"/>
    <x v="1"/>
    <d v="2025-12-23T00:00:00"/>
    <x v="3"/>
    <s v="2025-M12"/>
    <x v="0"/>
    <s v="OUMAIMA"/>
    <s v="MATIN"/>
    <s v="INTÉGRATION "/>
    <s v="Intégration 1"/>
    <x v="3"/>
    <s v="EDMI"/>
    <s v="EDMES030CAD-00"/>
    <d v="1899-12-30T12:50:00"/>
    <d v="1899-12-30T14:00:00"/>
    <n v="1.1666666666666679"/>
    <n v="3"/>
    <s v="3EDMIBERRECHID"/>
    <n v="9.0392561983471164E-4"/>
    <s v="Échec lecture / Identification"/>
    <s v="Pb de scan sur la carte display EDM830-00144 qty 20 cartes_x000a_Pb de scan sur la carte ICHIS EDM830-00140 qty 85 cartes "/>
    <x v="2"/>
    <s v="ENCOURS DE TRAITEMENT PAR YOUNESS ADAM"/>
  </r>
  <r>
    <x v="1"/>
    <x v="1"/>
    <d v="2025-12-24T00:00:00"/>
    <x v="3"/>
    <s v="2025-M12"/>
    <x v="0"/>
    <s v="OUMAIMA"/>
    <s v="MATIN"/>
    <s v="INTÉGRATION "/>
    <s v="Intégration "/>
    <x v="3"/>
    <s v="EDMI"/>
    <s v="EDMES030CAD-00"/>
    <d v="1899-12-30T06:00:00"/>
    <d v="1899-12-30T06:30:00"/>
    <n v="0.49999999999999956"/>
    <n v="3"/>
    <s v="3EDMIBERRECHID"/>
    <n v="3.8739669421487566E-4"/>
    <s v="Carence équipement de poste"/>
    <s v="Manque de moyens de travail (chariots, chaises, bacs)"/>
    <x v="2"/>
    <s v="DÉPANNAGE"/>
  </r>
  <r>
    <x v="1"/>
    <x v="1"/>
    <d v="2025-12-24T00:00:00"/>
    <x v="3"/>
    <s v="2025-M12"/>
    <x v="0"/>
    <s v="OUMAIMA"/>
    <s v="MATIN"/>
    <s v="INTÉGRATION "/>
    <s v="Intégration 1"/>
    <x v="3"/>
    <s v="EDMI"/>
    <s v="EDMES030CAD-00"/>
    <d v="1899-12-30T08:00:00"/>
    <d v="1899-12-30T09:00:00"/>
    <n v="1.0000000000000004"/>
    <n v="3"/>
    <s v="3EDMIBERRECHID"/>
    <n v="7.747933884297523E-4"/>
    <s v="Incident édition / Marquage"/>
    <s v="Manque d'étiquette d'intégration (erreur impression, saut lot)"/>
    <x v="4"/>
    <s v="GOTNI "/>
  </r>
  <r>
    <x v="1"/>
    <x v="1"/>
    <d v="2025-12-24T00:00:00"/>
    <x v="3"/>
    <s v="2025-M12"/>
    <x v="0"/>
    <s v="OUMAIMA"/>
    <s v="MATIN"/>
    <s v="INTÉGRATION "/>
    <s v="Dégrappage "/>
    <x v="3"/>
    <s v="EDMI"/>
    <s v="EDMES030CAD-00"/>
    <d v="1899-12-30T11:15:00"/>
    <d v="1899-12-30T11:35:00"/>
    <n v="0.33333333333333348"/>
    <n v="3"/>
    <s v="3EDMIBERRECHID"/>
    <n v="2.5826446280991742E-4"/>
    <s v="Rupture approvisionnement"/>
    <s v="Manque de carte display EDM830-00144 (retard transport)"/>
    <x v="0"/>
    <s v="BOUDRA"/>
  </r>
  <r>
    <x v="1"/>
    <x v="1"/>
    <d v="2025-12-24T00:00:00"/>
    <x v="3"/>
    <s v="2025-M12"/>
    <x v="0"/>
    <s v="OUMAIMA"/>
    <s v="MATIN"/>
    <s v="TEST UFT "/>
    <s v="Test UFT "/>
    <x v="3"/>
    <s v="EDMI"/>
    <s v="EDMS010BXD-10-BRITIS:"/>
    <d v="1899-12-30T11:20:00"/>
    <d v="1899-12-30T12:00:00"/>
    <n v="0.66666666666666696"/>
    <n v="3"/>
    <s v="3EDMIBERRECHID"/>
    <n v="5.1652892561983483E-4"/>
    <s v="Réglage technique / Maintenance"/>
    <s v="Arrêt test UFT suite à l'intervention de service test"/>
    <x v="2"/>
    <s v="AMINE/SAID"/>
  </r>
  <r>
    <x v="1"/>
    <x v="1"/>
    <d v="2025-12-24T00:00:00"/>
    <x v="3"/>
    <s v="2025-M12"/>
    <x v="0"/>
    <s v="TARIK"/>
    <s v="APM"/>
    <s v="TEST ICT"/>
    <s v="Testeur ICT"/>
    <x v="3"/>
    <s v="EDMI"/>
    <s v="EDMES030CAD-00"/>
    <d v="1899-12-30T20:45:00"/>
    <d v="1899-12-30T21:30:00"/>
    <n v="0.75"/>
    <n v="3"/>
    <s v="3EDMIBERRECHID"/>
    <n v="5.8109504132231396E-4"/>
    <s v="Conflit interface de test"/>
    <s v="Pb lors du passage de la réf EDM830-00144 à l'ICT (interface)"/>
    <x v="2"/>
    <s v="SAID"/>
  </r>
  <r>
    <x v="1"/>
    <x v="2"/>
    <d v="2025-12-24T00:00:00"/>
    <x v="3"/>
    <s v="2025-M12"/>
    <x v="0"/>
    <s v="ISMAIL"/>
    <s v="APM"/>
    <s v="TEST"/>
    <s v="TAKAYA-9400"/>
    <x v="4"/>
    <s v="EMS"/>
    <s v="EMS-156"/>
    <d v="1899-12-30T16:00:00"/>
    <d v="1899-12-30T16:30:00"/>
    <n v="0.50000000000000089"/>
    <n v="2"/>
    <s v="2EMSBERRECHID"/>
    <n v="9.2975206611570419E-5"/>
    <s v="Défaillance électrique banc de  test"/>
    <s v="Prob Relay on-test"/>
    <x v="1"/>
    <s v="SLIMANE"/>
  </r>
  <r>
    <x v="1"/>
    <x v="2"/>
    <d v="2025-12-24T00:00:00"/>
    <x v="3"/>
    <s v="2025-M12"/>
    <x v="0"/>
    <s v="ISMAIL"/>
    <s v="APM"/>
    <s v="TEST"/>
    <s v="TAKAYA-9400"/>
    <x v="4"/>
    <s v="EMS"/>
    <s v="EMS-167"/>
    <d v="1899-12-30T20:00:00"/>
    <d v="1899-12-30T20:40:00"/>
    <n v="0.66666666666666696"/>
    <n v="2"/>
    <s v="2EMSBERRECHID"/>
    <n v="1.2396694214876041E-4"/>
    <s v="Bug logiciel machine CMS"/>
    <s v="Bug de la machine Takaya-9400"/>
    <x v="1"/>
    <s v="INTERVENTION A DISTANCE_x000a_( ISMAIL )"/>
  </r>
  <r>
    <x v="1"/>
    <x v="2"/>
    <d v="2025-12-25T00:00:00"/>
    <x v="3"/>
    <s v="2025-M12"/>
    <x v="0"/>
    <s v="ISMAIL"/>
    <s v="MATIN"/>
    <s v="TEST"/>
    <s v="Test Fonctionnel "/>
    <x v="5"/>
    <s v="LE RESTE"/>
    <s v="MEMMERPF08040"/>
    <d v="1899-12-30T11:50:00"/>
    <d v="1899-12-30T18:00:00"/>
    <n v="6.1666666666666661"/>
    <n v="2"/>
    <s v="2LE RESTEBERRECHID"/>
    <n v="2.388946280991735E-3"/>
    <s v="Dérive process (Nettoyage)"/>
    <s v="Détection de 4 cartes successives en défaut (Index : 47)"/>
    <x v="2"/>
    <s v="INTERVENTION DE ( SAID + ISMAIL : VALIDATION DE ADEL ) "/>
  </r>
  <r>
    <x v="1"/>
    <x v="1"/>
    <d v="2025-12-26T00:00:00"/>
    <x v="3"/>
    <s v="2025-M12"/>
    <x v="0"/>
    <s v="OUMAIMA"/>
    <s v="MATIN"/>
    <s v="INTÉGRATION "/>
    <s v="Intégration "/>
    <x v="3"/>
    <s v="EDMI"/>
    <s v="EDMS010BXD-10-BRITIS:"/>
    <d v="1899-12-30T09:30:00"/>
    <d v="1899-12-30T11:00:00"/>
    <n v="1.5"/>
    <n v="3"/>
    <s v="3EDMIBERRECHID"/>
    <n v="1.1621900826446279E-3"/>
    <s v="Panne mécanique convoyage"/>
    <s v="Dysfonctionnement de convoyeur de posage d'intégration"/>
    <x v="1"/>
    <s v="SLIMANE "/>
  </r>
  <r>
    <x v="1"/>
    <x v="2"/>
    <d v="2025-12-22T00:00:00"/>
    <x v="3"/>
    <s v="2025-M12"/>
    <x v="0"/>
    <s v="KNIDAR"/>
    <s v="NUIT"/>
    <s v="CMS"/>
    <s v="LIGNE 2"/>
    <x v="3"/>
    <s v="EDMI"/>
    <s v="EDM830-010-107BRTISH"/>
    <d v="1899-12-30T22:00:00"/>
    <d v="1899-12-30T22:36:00"/>
    <n v="0.60000000000000053"/>
    <n v="3"/>
    <s v="3EDMIBERRECHID"/>
    <n v="4.6487603305785162E-4"/>
    <s v="Changement de série (Setup)"/>
    <s v="Recherche Bobine + chargement (Mq Séquenceur)"/>
    <x v="0"/>
    <s v="AYOUB"/>
  </r>
  <r>
    <x v="1"/>
    <x v="2"/>
    <d v="2025-12-22T00:00:00"/>
    <x v="3"/>
    <s v="2025-M12"/>
    <x v="0"/>
    <s v="KNIDAR"/>
    <s v="APM"/>
    <s v="CMS"/>
    <s v="LIGNE 2"/>
    <x v="3"/>
    <s v="EDMI"/>
    <s v="EDM830-010-107BRTISH"/>
    <d v="1899-12-30T14:00:00"/>
    <d v="1899-12-30T14:36:00"/>
    <n v="0.60000000000000053"/>
    <n v="3"/>
    <s v="3EDMIBERRECHID"/>
    <n v="4.6487603305785162E-4"/>
    <s v="Changement de série (Setup)"/>
    <s v="Recherche Bobine + chargement (Manque séquenceur)"/>
    <x v="0"/>
    <s v="MEHDI"/>
  </r>
  <r>
    <x v="1"/>
    <x v="2"/>
    <d v="2025-12-23T00:00:00"/>
    <x v="3"/>
    <s v="2025-M12"/>
    <x v="0"/>
    <s v="KNIDAR"/>
    <s v="NUIT"/>
    <s v="CMS"/>
    <s v="LIGNE 2"/>
    <x v="3"/>
    <s v="EDMI"/>
    <s v="EDM830-010-107BRTISH"/>
    <d v="1899-12-30T22:00:00"/>
    <d v="1899-12-30T22:36:00"/>
    <n v="0.60000000000000053"/>
    <n v="3"/>
    <s v="3EDMIBERRECHID"/>
    <n v="4.6487603305785162E-4"/>
    <s v="Changement de série (Setup)"/>
    <s v="Recherche Bobine + chargement (Mq Séquenceur)"/>
    <x v="0"/>
    <s v="AYOUB"/>
  </r>
  <r>
    <x v="1"/>
    <x v="2"/>
    <d v="2025-12-23T00:00:00"/>
    <x v="3"/>
    <s v="2025-M12"/>
    <x v="0"/>
    <s v="KNIDAR"/>
    <s v="MATIN"/>
    <s v="CMS"/>
    <s v="LIGNE 2"/>
    <x v="3"/>
    <s v="EDMI"/>
    <s v="EDM830-010-107BRTISH"/>
    <d v="1899-12-30T06:00:00"/>
    <d v="1899-12-30T06:24:00"/>
    <n v="0.39999999999999991"/>
    <n v="3"/>
    <s v="3EDMIBERRECHID"/>
    <n v="3.0991735537190074E-4"/>
    <s v="Changement de série (Setup)"/>
    <s v="Recherche Bobine + chargement (Manque séquenceur)"/>
    <x v="0"/>
    <s v="BRAHIM"/>
  </r>
  <r>
    <x v="1"/>
    <x v="2"/>
    <d v="2025-12-23T00:00:00"/>
    <x v="3"/>
    <s v="2025-M12"/>
    <x v="0"/>
    <s v="KHADIM"/>
    <s v="APM"/>
    <s v="CMS"/>
    <s v="LIGNE 2"/>
    <x v="3"/>
    <s v="EDMI"/>
    <s v="EDM830-010-107BRTISH"/>
    <d v="1899-12-30T06:00:00"/>
    <d v="1899-12-30T06:24:00"/>
    <n v="0.39999999999999991"/>
    <n v="3"/>
    <s v="3EDMIBERRECHID"/>
    <n v="3.0991735537190074E-4"/>
    <s v="Changement de série (Setup)"/>
    <s v="Recherche Bobine + chargement (Manque séquenceur)"/>
    <x v="0"/>
    <s v="MEHDI"/>
  </r>
  <r>
    <x v="1"/>
    <x v="2"/>
    <d v="2025-12-23T00:00:00"/>
    <x v="3"/>
    <s v="2025-M12"/>
    <x v="0"/>
    <s v="KNIDAR"/>
    <s v="MATIN"/>
    <s v="CMS"/>
    <s v="LIGNE 2"/>
    <x v="3"/>
    <s v="EDMI"/>
    <s v="EDM830-010-107BRTISH"/>
    <d v="1899-12-30T06:00:00"/>
    <d v="1899-12-30T06:24:00"/>
    <n v="0.39999999999999991"/>
    <n v="3"/>
    <s v="3EDMIBERRECHID"/>
    <n v="3.0991735537190074E-4"/>
    <s v="Apprentissage / Baisse cadence"/>
    <s v="PILOTE de ligne en Formation"/>
    <x v="5"/>
    <s v="BRAHIM"/>
  </r>
  <r>
    <x v="1"/>
    <x v="2"/>
    <d v="2025-12-23T00:00:00"/>
    <x v="3"/>
    <s v="2025-M12"/>
    <x v="0"/>
    <s v="KNIDAR"/>
    <s v="APM"/>
    <s v="CMS"/>
    <s v="LIGNE 2"/>
    <x v="3"/>
    <s v="EDMI"/>
    <s v="EDM830-010-107BRTISH"/>
    <d v="1899-12-30T14:00:00"/>
    <d v="1899-12-30T14:30:00"/>
    <n v="0.50000000000000089"/>
    <n v="3"/>
    <s v="3EDMIBERRECHID"/>
    <n v="3.8739669421487669E-4"/>
    <s v="Remplacement de poste"/>
    <s v="PILOTE de ligne en Formation (remplacement du départ)"/>
    <x v="5"/>
    <s v="KHADIM"/>
  </r>
  <r>
    <x v="1"/>
    <x v="2"/>
    <d v="2025-12-24T00:00:00"/>
    <x v="3"/>
    <s v="2025-M12"/>
    <x v="0"/>
    <s v="KNIDAR"/>
    <s v="NUIT"/>
    <s v="CMS"/>
    <s v="LIGNE 2"/>
    <x v="3"/>
    <s v="EDMI"/>
    <s v="EDM830-010-107BRTISH"/>
    <d v="1899-12-30T22:00:00"/>
    <d v="1899-12-30T22:24:00"/>
    <n v="0.40000000000000124"/>
    <n v="3"/>
    <s v="3EDMIBERRECHID"/>
    <n v="3.0991735537190177E-4"/>
    <s v="Changement de série (Setup)"/>
    <s v="Recherche Bobine + chargement (Mq Séquenceur)"/>
    <x v="0"/>
    <s v="AYOUB"/>
  </r>
  <r>
    <x v="1"/>
    <x v="2"/>
    <d v="2025-12-24T00:00:00"/>
    <x v="3"/>
    <s v="2025-M12"/>
    <x v="0"/>
    <s v="KNIDAR"/>
    <s v="MATIN"/>
    <s v="CMS"/>
    <s v="LIGNE 2"/>
    <x v="3"/>
    <s v="EDMI"/>
    <s v="EDM830-010-107BRTISH"/>
    <d v="1899-12-30T06:00:00"/>
    <d v="1899-12-30T06:24:00"/>
    <n v="0.39999999999999991"/>
    <n v="3"/>
    <s v="3EDMIBERRECHID"/>
    <n v="3.0991735537190074E-4"/>
    <s v="Arrêt énergie général"/>
    <s v="Coupure électrique"/>
    <x v="1"/>
    <s v="BATAR"/>
  </r>
  <r>
    <x v="1"/>
    <x v="2"/>
    <d v="2025-12-24T00:00:00"/>
    <x v="3"/>
    <s v="2025-M12"/>
    <x v="0"/>
    <s v="KNIDAR"/>
    <s v="APM"/>
    <s v="CMS"/>
    <s v="LIGNE 2"/>
    <x v="3"/>
    <s v="EDMI"/>
    <s v="EDM830-010-107BRTISH"/>
    <d v="1899-12-30T14:00:00"/>
    <d v="1899-12-30T14:30:00"/>
    <n v="0.50000000000000089"/>
    <n v="3"/>
    <s v="3EDMIBERRECHID"/>
    <n v="3.8739669421487669E-4"/>
    <s v="Changement de série (Setup)"/>
    <s v="Recherche Bobine + chargement (Manque séquenceur)"/>
    <x v="0"/>
    <s v="MEHDI"/>
  </r>
  <r>
    <x v="1"/>
    <x v="2"/>
    <d v="2025-12-24T00:00:00"/>
    <x v="3"/>
    <s v="2025-M12"/>
    <x v="0"/>
    <s v="KNIDAR"/>
    <s v="APM"/>
    <s v="CMS"/>
    <s v="LIGNE 2"/>
    <x v="3"/>
    <s v="EDMI"/>
    <s v="EDM830-010-107BRTISH"/>
    <d v="1899-12-30T14:00:00"/>
    <d v="1899-12-30T15:00:00"/>
    <n v="0.99999999999999911"/>
    <n v="3"/>
    <s v="3EDMIBERRECHID"/>
    <n v="7.7479338842975133E-4"/>
    <s v="Remplacement de poste"/>
    <s v="PILOTE de ligne en Formation (remplacement du départ)"/>
    <x v="5"/>
    <s v="KHADIM"/>
  </r>
  <r>
    <x v="1"/>
    <x v="2"/>
    <d v="2025-12-25T00:00:00"/>
    <x v="3"/>
    <s v="2025-M12"/>
    <x v="0"/>
    <s v="KNIDAR"/>
    <s v="NUIT"/>
    <s v="CMS"/>
    <s v="LIGNE 2"/>
    <x v="3"/>
    <s v="EDMI"/>
    <s v="EDM830-010-107BRTISH"/>
    <d v="1899-12-30T22:00:00"/>
    <d v="1899-12-30T22:24:00"/>
    <n v="0.40000000000000124"/>
    <n v="3"/>
    <s v="3EDMIBERRECHID"/>
    <n v="3.0991735537190177E-4"/>
    <s v="Changement de série (Setup)"/>
    <s v="Recherche Bobine + chargement (Mq Séquenceur)"/>
    <x v="0"/>
    <s v="AYOUB"/>
  </r>
  <r>
    <x v="1"/>
    <x v="2"/>
    <d v="2025-12-25T00:00:00"/>
    <x v="3"/>
    <s v="2025-M12"/>
    <x v="0"/>
    <s v="KNIDAR"/>
    <s v="NUIT"/>
    <s v="CMS"/>
    <s v="LIGNE 2"/>
    <x v="3"/>
    <s v="EDMI"/>
    <s v="EDM830-010-107BRTISH"/>
    <d v="1899-12-30T22:00:00"/>
    <d v="1899-12-30T23:42:00"/>
    <n v="1.6999999999999993"/>
    <n v="3"/>
    <s v="3EDMIBERRECHID"/>
    <n v="1.3171487603305778E-3"/>
    <s v="Changement de série (Setup)"/>
    <s v="Recherche Bobine + chargement (Manque séquenceur)"/>
    <x v="0"/>
    <s v="BRAHIM"/>
  </r>
  <r>
    <x v="1"/>
    <x v="2"/>
    <d v="2025-12-25T00:00:00"/>
    <x v="3"/>
    <s v="2025-M12"/>
    <x v="0"/>
    <s v="KNIDAR"/>
    <s v="NUIT"/>
    <s v="CMS"/>
    <s v="LIGNE 2"/>
    <x v="3"/>
    <s v="EDMI"/>
    <s v="EDM830-010-107BRTISH"/>
    <d v="1899-12-30T22:00:00"/>
    <d v="1899-12-30T22:36:00"/>
    <n v="0.60000000000000053"/>
    <n v="3"/>
    <s v="3EDMIBERRECHID"/>
    <n v="4.6487603305785162E-4"/>
    <s v="Changement de série (Setup)"/>
    <s v="Recherche Bobine + chargement (Manque séquenceur)"/>
    <x v="0"/>
    <s v="MEHDI"/>
  </r>
  <r>
    <x v="1"/>
    <x v="2"/>
    <d v="2025-12-25T00:00:00"/>
    <x v="3"/>
    <s v="2025-M12"/>
    <x v="0"/>
    <s v="KNIDAR"/>
    <s v="APM"/>
    <s v="CMS"/>
    <s v="LIGNE 2"/>
    <x v="3"/>
    <s v="EDMI"/>
    <s v="EDM830-010-107BRTISH"/>
    <d v="1899-12-30T14:00:00"/>
    <d v="1899-12-30T14:36:00"/>
    <n v="0.60000000000000053"/>
    <n v="3"/>
    <s v="3EDMIBERRECHID"/>
    <n v="4.6487603305785162E-4"/>
    <s v="Remplacement de poste"/>
    <s v="PILOTE de ligne en Formation (remplacement du départ)"/>
    <x v="5"/>
    <s v="KHADIM"/>
  </r>
  <r>
    <x v="1"/>
    <x v="2"/>
    <d v="2025-12-26T00:00:00"/>
    <x v="3"/>
    <s v="2025-M12"/>
    <x v="0"/>
    <s v="KNIDAR"/>
    <s v="NUIT"/>
    <s v="CMS"/>
    <s v="LIGNE 2"/>
    <x v="3"/>
    <s v="EDMI"/>
    <s v="EDM830-010-107BRTISH"/>
    <d v="1899-12-30T14:00:00"/>
    <d v="1899-12-30T22:00:00"/>
    <n v="7.9999999999999982"/>
    <n v="3"/>
    <s v="3EDMIBERRECHID"/>
    <n v="6.198347107438015E-3"/>
    <s v="Changement de série (Setup)"/>
    <s v="Basculement ligne sur ES12B (Mq Feeders)"/>
    <x v="0"/>
    <s v="HOUSSAM"/>
  </r>
  <r>
    <x v="1"/>
    <x v="2"/>
    <d v="2025-12-26T00:00:00"/>
    <x v="3"/>
    <s v="2025-M12"/>
    <x v="0"/>
    <s v="KNIDAR"/>
    <s v="MATIN"/>
    <s v="CMS"/>
    <s v="LIGNE 2"/>
    <x v="3"/>
    <s v="EDMI"/>
    <s v="EDM830-010-107BRTISH"/>
    <d v="1899-12-30T14:00:00"/>
    <d v="1899-12-30T22:00:00"/>
    <n v="7.9999999999999982"/>
    <n v="3"/>
    <s v="3EDMIBERRECHID"/>
    <n v="6.198347107438015E-3"/>
    <s v="Changement de série (Setup)"/>
    <s v="Basculement ligne sur ES12B (Mq Feeders)"/>
    <x v="0"/>
    <s v="HOUSSAM"/>
  </r>
  <r>
    <x v="1"/>
    <x v="2"/>
    <d v="2025-12-26T00:00:00"/>
    <x v="3"/>
    <s v="2025-M12"/>
    <x v="0"/>
    <s v="KNIDAR"/>
    <s v="APM"/>
    <s v="CMS"/>
    <s v="LIGNE 3"/>
    <x v="3"/>
    <s v="EDMI"/>
    <s v="EDM830-010-107BRTISH"/>
    <d v="1899-12-30T14:00:00"/>
    <d v="1899-12-30T22:00:00"/>
    <n v="7.9999999999999982"/>
    <n v="3"/>
    <s v="3EDMIBERRECHID"/>
    <n v="6.198347107438015E-3"/>
    <s v="Changement de série (Setup)"/>
    <s v="Basculement ligne sur ES12B (Manque feeders)"/>
    <x v="0"/>
    <s v="HOUSSAM"/>
  </r>
  <r>
    <x v="1"/>
    <x v="1"/>
    <d v="2025-12-27T00:00:00"/>
    <x v="3"/>
    <s v="2025-M12"/>
    <x v="0"/>
    <s v="TARIK"/>
    <s v="APM"/>
    <s v="POSTE LASER "/>
    <s v="Poste Laser "/>
    <x v="3"/>
    <s v="EDMI"/>
    <s v="EDMES010BAU10"/>
    <d v="1899-12-30T21:00:00"/>
    <d v="1899-12-30T21:24:36"/>
    <n v="0.41000000000000014"/>
    <n v="3"/>
    <s v="3EDMIBERRECHID"/>
    <n v="3.1766528925619838E-4"/>
    <s v="Erreur de sérialisation"/>
    <s v="9 Produits ayant le même marquage ASSET TAG"/>
    <x v="2"/>
    <s v="ADAM"/>
  </r>
  <r>
    <x v="1"/>
    <x v="1"/>
    <d v="2025-12-27T00:00:00"/>
    <x v="3"/>
    <s v="2025-M12"/>
    <x v="0"/>
    <s v="SALAH"/>
    <s v="NUIT"/>
    <s v="INTÉGRATION "/>
    <s v="Intégration "/>
    <x v="3"/>
    <s v="EDMI"/>
    <s v="EDMS010BXD-10-BRITIS:"/>
    <d v="1899-12-30T20:30:00"/>
    <d v="1899-12-30T21:00:00"/>
    <n v="0.50000000000000089"/>
    <n v="3"/>
    <s v="3EDMIBERRECHID"/>
    <n v="3.8739669421487669E-4"/>
    <s v="Panne mécanique convoyage"/>
    <s v="Dégradation de convoyeur de posage d'intégration"/>
    <x v="1"/>
    <s v="BATAR"/>
  </r>
  <r>
    <x v="1"/>
    <x v="1"/>
    <d v="2025-12-27T00:00:00"/>
    <x v="3"/>
    <s v="2025-M12"/>
    <x v="0"/>
    <s v="OUMAIMA"/>
    <s v="MATIN"/>
    <s v="INTÉGRATION "/>
    <s v="Intégration "/>
    <x v="3"/>
    <s v="EDMI"/>
    <s v="EDMS010BXD-10-BRITIS:"/>
    <d v="1899-12-30T06:00:00"/>
    <d v="1899-12-30T06:30:00"/>
    <n v="0.50000000000000022"/>
    <n v="3"/>
    <s v="3EDMIBERRECHID"/>
    <n v="3.8739669421487615E-4"/>
    <s v="Panne mécanique convoyage"/>
    <s v="Dysfonctionnement de convoyeur de posage d'intégration"/>
    <x v="1"/>
    <s v="BATAR"/>
  </r>
  <r>
    <x v="1"/>
    <x v="1"/>
    <d v="2025-12-27T00:00:00"/>
    <x v="3"/>
    <s v="2025-M12"/>
    <x v="0"/>
    <s v="OUMAIMA"/>
    <s v="MATIN"/>
    <s v="FINITION"/>
    <s v="Finition"/>
    <x v="3"/>
    <s v="EDMI"/>
    <s v="EDM830-010-107BRTIS:"/>
    <d v="1899-12-30T09:00:00"/>
    <d v="1899-12-30T11:27:00"/>
    <n v="2.4500000000000006"/>
    <n v="3"/>
    <s v="3EDMIBERRECHID"/>
    <n v="1.8982438016528929E-3"/>
    <s v="Incident environnemental"/>
    <s v="Présence d'eau sur les postes de travail"/>
    <x v="1"/>
    <s v="BATAR"/>
  </r>
  <r>
    <x v="1"/>
    <x v="2"/>
    <d v="2025-12-26T00:00:00"/>
    <x v="3"/>
    <s v="2025-M12"/>
    <x v="0"/>
    <s v="KNIDAR"/>
    <s v="APM"/>
    <s v="CMS"/>
    <s v="LIGNE 2"/>
    <x v="3"/>
    <s v="EDMI"/>
    <s v="EDM830-013-152"/>
    <d v="1899-12-30T06:00:00"/>
    <d v="1899-12-30T14:00:00"/>
    <n v="7.9999999999999982"/>
    <n v="3"/>
    <s v="3EDMIBERRECHID"/>
    <n v="6.198347107438015E-3"/>
    <s v="Perte efficience changement"/>
    <s v="Déchargement ED10B et chargement ES12B (prog non optimisé)"/>
    <x v="2"/>
    <s v="ABOUELWAFA+KNIDAR+KHADIM"/>
  </r>
  <r>
    <x v="1"/>
    <x v="2"/>
    <d v="2025-12-27T00:00:00"/>
    <x v="3"/>
    <s v="2025-M12"/>
    <x v="0"/>
    <s v="KNIDAR"/>
    <s v="MATIN"/>
    <s v="CMS"/>
    <s v="LIGNE 2"/>
    <x v="3"/>
    <s v="EDMI"/>
    <s v="EDM830-013-152"/>
    <d v="1899-12-30T08:00:00"/>
    <d v="1899-12-30T13:45:00"/>
    <n v="5.7500000000000009"/>
    <n v="3"/>
    <s v="3EDMIBERRECHID"/>
    <n v="4.4550619834710752E-3"/>
    <s v="Écart stock physique/système"/>
    <s v="Décalage composants + écart quantité Cogiscan (48% prod)"/>
    <x v="2"/>
    <s v="ABOUELWAFA+KNIDAR+KHADIM"/>
  </r>
  <r>
    <x v="1"/>
    <x v="2"/>
    <d v="2025-12-28T00:00:00"/>
    <x v="4"/>
    <s v="2025-M12"/>
    <x v="0"/>
    <s v="KNIDAR"/>
    <s v="MATIN"/>
    <s v="CMS"/>
    <s v="LIGNE 2"/>
    <x v="3"/>
    <s v="EDMI"/>
    <s v="EDM830-013-152"/>
    <d v="1899-12-30T10:00:00"/>
    <d v="1899-12-30T13:35:00"/>
    <n v="3.5833333333333326"/>
    <n v="3"/>
    <s v="3EDMIBERRECHID"/>
    <n v="2.7763429752066106E-3"/>
    <s v="Perte efficience changement"/>
    <s v="Programme non optimisé CMS + écart Cogiscan (65% prod)"/>
    <x v="2"/>
    <s v="ABOUELWAFA+KNIDAR+KHADIM"/>
  </r>
  <r>
    <x v="1"/>
    <x v="2"/>
    <d v="2025-12-28T00:00:00"/>
    <x v="4"/>
    <s v="2025-M12"/>
    <x v="0"/>
    <s v="LATIFA"/>
    <s v="MATIN"/>
    <s v="ZONE EMS"/>
    <s v="Finition EMS"/>
    <x v="4"/>
    <s v="EMS"/>
    <s v="EMSEL-628"/>
    <d v="1899-12-30T12:20:00"/>
    <d v="1899-12-30T13:00:00"/>
    <n v="0.66666666666666696"/>
    <n v="2"/>
    <s v="2EMSBERRECHID"/>
    <n v="1.2396694214876041E-4"/>
    <s v="Arrêt énergie général"/>
    <s v="Coupure d'électricité"/>
    <x v="1"/>
    <s v="BATAR"/>
  </r>
  <r>
    <x v="1"/>
    <x v="2"/>
    <d v="2025-12-29T00:00:00"/>
    <x v="4"/>
    <s v="2025-M12"/>
    <x v="0"/>
    <s v="KNIDAR"/>
    <s v="MATIN"/>
    <s v="CMS"/>
    <s v="LIGNE 2"/>
    <x v="3"/>
    <s v="EDMI"/>
    <s v="EDM830-013-152"/>
    <d v="1899-12-30T12:25:00"/>
    <d v="1899-12-30T13:25:00"/>
    <n v="0.99999999999999911"/>
    <n v="3"/>
    <s v="3EDMIBERRECHID"/>
    <n v="7.7479338842975133E-4"/>
    <s v="Incident secteur majeur"/>
    <s v="Coupure électrique sur ateliers Bâtiment A"/>
    <x v="1"/>
    <s v="BATAR"/>
  </r>
  <r>
    <x v="1"/>
    <x v="2"/>
    <d v="2025-12-29T00:00:00"/>
    <x v="4"/>
    <s v="2025-M12"/>
    <x v="0"/>
    <s v="ELMIR"/>
    <s v="MATIN"/>
    <s v="TRAVERSSANT"/>
    <s v="vague"/>
    <x v="3"/>
    <s v="EDMI"/>
    <s v="EDM830-013-152"/>
    <d v="1899-12-30T12:25:00"/>
    <d v="1899-12-30T12:55:00"/>
    <n v="0.49999999999999822"/>
    <n v="3"/>
    <s v="3EDMIBERRECHID"/>
    <n v="3.8739669421487458E-4"/>
    <s v="Incident secteur majeur"/>
    <s v="Coupure électrique sur ateliers Bâtiment A"/>
    <x v="1"/>
    <s v="BATAR"/>
  </r>
  <r>
    <x v="1"/>
    <x v="2"/>
    <d v="2025-12-29T00:00:00"/>
    <x v="4"/>
    <s v="2025-M12"/>
    <x v="0"/>
    <s v="ISMAIL"/>
    <s v="MATIN"/>
    <s v="TEST TAKAYA"/>
    <s v="TAKAYA-9400"/>
    <x v="6"/>
    <s v="LE RESTE"/>
    <s v="GRE6159188870-R"/>
    <d v="1899-12-30T12:30:00"/>
    <d v="1899-12-30T13:00:00"/>
    <n v="0.49999999999999822"/>
    <n v="2"/>
    <s v="2LE RESTEBERRECHID"/>
    <n v="1.9369834710743729E-4"/>
    <s v="Arrêt énergie général"/>
    <s v="Coupure d'électricité"/>
    <x v="1"/>
    <s v="BATAR"/>
  </r>
  <r>
    <x v="1"/>
    <x v="2"/>
    <d v="2025-12-29T00:00:00"/>
    <x v="4"/>
    <s v="2025-M12"/>
    <x v="0"/>
    <s v="ISMAIL"/>
    <s v="MATIN"/>
    <s v="TEST TAKAYA"/>
    <s v="Takaya-9411"/>
    <x v="6"/>
    <s v="LE RESTE"/>
    <s v="CEGRE6159197042-R"/>
    <d v="1899-12-30T12:30:00"/>
    <d v="1899-12-30T13:00:00"/>
    <n v="0.49999999999999822"/>
    <n v="2"/>
    <s v="2LE RESTEBERRECHID"/>
    <n v="1.9369834710743729E-4"/>
    <s v="Arrêt énergie général"/>
    <s v="Coupure d'électricité"/>
    <x v="1"/>
    <s v="BATAR"/>
  </r>
  <r>
    <x v="1"/>
    <x v="1"/>
    <d v="2025-12-30T00:00:00"/>
    <x v="4"/>
    <s v="2025-M12"/>
    <x v="0"/>
    <s v="TARIK"/>
    <s v="MATIN"/>
    <s v="FINITION"/>
    <s v="Finition"/>
    <x v="3"/>
    <s v="EDMI"/>
    <s v="EDM830-013-152"/>
    <d v="1899-12-30T08:30:00"/>
    <d v="1899-12-30T09:39:36"/>
    <n v="1.1600000000000001"/>
    <n v="3"/>
    <s v="3EDMIBERRECHID"/>
    <n v="8.9876033057851245E-4"/>
    <s v="Rupture approvisionnement"/>
    <s v="Manque des PCB ES-12B"/>
    <x v="0"/>
    <s v="ABOUDA"/>
  </r>
  <r>
    <x v="1"/>
    <x v="1"/>
    <d v="2025-12-30T00:00:00"/>
    <x v="4"/>
    <s v="2025-M12"/>
    <x v="0"/>
    <s v="TARIK"/>
    <s v="MATIN"/>
    <s v="TEST ICT"/>
    <s v="Testeur ICT"/>
    <x v="3"/>
    <s v="EDMI"/>
    <s v="EDM830-013-152"/>
    <d v="1899-12-30T08:10:00"/>
    <d v="1899-12-30T10:29:48"/>
    <n v="2.3300000000000005"/>
    <n v="3"/>
    <s v="3EDMIBERRECHID"/>
    <n v="1.8052685950413225E-3"/>
    <s v="Mise au point logicielle"/>
    <s v="Débogage de programme ICT ES12B"/>
    <x v="2"/>
    <s v="SAID"/>
  </r>
  <r>
    <x v="1"/>
    <x v="1"/>
    <d v="2025-12-30T00:00:00"/>
    <x v="4"/>
    <s v="2025-M12"/>
    <x v="0"/>
    <s v="TARIK"/>
    <s v="MATIN"/>
    <s v="TEST ICT"/>
    <s v="Testeur ICT"/>
    <x v="3"/>
    <s v="EDMI"/>
    <s v="EDM830-013-152"/>
    <d v="1899-12-30T11:00:00"/>
    <d v="1899-12-30T12:19:48"/>
    <n v="1.33"/>
    <n v="3"/>
    <s v="3EDMIBERRECHID"/>
    <n v="1.0304752066115702E-3"/>
    <s v="Mise au point logicielle"/>
    <s v="Débogage de programme ICT ES12B"/>
    <x v="2"/>
    <s v="SAID"/>
  </r>
  <r>
    <x v="1"/>
    <x v="1"/>
    <d v="2025-12-30T00:00:00"/>
    <x v="4"/>
    <s v="2025-M12"/>
    <x v="0"/>
    <s v="TARIK"/>
    <s v="MATIN"/>
    <s v="TEST ICT"/>
    <s v="Testeur ICT"/>
    <x v="3"/>
    <s v="EDMI"/>
    <s v="EDM830-013-152"/>
    <d v="1899-12-30T12:40:00"/>
    <d v="1899-12-30T13:19:36"/>
    <n v="0.65999999999999925"/>
    <n v="3"/>
    <s v="3EDMIBERRECHID"/>
    <n v="5.1136363636363575E-4"/>
    <s v="Mise au point logicielle"/>
    <s v="Débogage de programme ICT ES12B"/>
    <x v="2"/>
    <s v="SAID"/>
  </r>
  <r>
    <x v="1"/>
    <x v="1"/>
    <d v="2025-12-30T00:00:00"/>
    <x v="4"/>
    <s v="2025-M12"/>
    <x v="0"/>
    <s v="TARIK"/>
    <s v="MATIN"/>
    <s v="TEST :I-POT"/>
    <s v="Test :i-pot"/>
    <x v="3"/>
    <s v="EDMI"/>
    <s v="EDM830-013-152"/>
    <d v="1899-12-30T13:15:00"/>
    <d v="1899-12-30T14:24:36"/>
    <n v="1.1600000000000001"/>
    <n v="3"/>
    <s v="3EDMIBERRECHID"/>
    <n v="8.9876033057851245E-4"/>
    <s v="Panne matériel sécurité élec"/>
    <s v="Testeur Hi-pot en arrêt"/>
    <x v="2"/>
    <s v="SAID"/>
  </r>
  <r>
    <x v="1"/>
    <x v="1"/>
    <d v="2025-12-30T00:00:00"/>
    <x v="4"/>
    <s v="2025-M12"/>
    <x v="0"/>
    <s v="SALAH"/>
    <s v="APM"/>
    <s v="DÉGRAPPAGE"/>
    <s v="Dégrappage"/>
    <x v="3"/>
    <s v="EDMI"/>
    <s v="EDM830-013-152"/>
    <d v="1899-12-30T15:50:00"/>
    <d v="1899-12-30T16:59:36"/>
    <n v="1.1600000000000001"/>
    <n v="3"/>
    <s v="3EDMIBERRECHID"/>
    <n v="8.9876033057851245E-4"/>
    <s v="Déploiement logiciel"/>
    <s v="Installation Programme 12B"/>
    <x v="2"/>
    <s v="OMAR"/>
  </r>
  <r>
    <x v="1"/>
    <x v="1"/>
    <d v="2025-12-30T00:00:00"/>
    <x v="4"/>
    <s v="2025-M12"/>
    <x v="0"/>
    <s v="SALAH"/>
    <s v="APM"/>
    <s v=" TEST BFT"/>
    <s v="Testeur BFT"/>
    <x v="3"/>
    <s v="EDMI"/>
    <s v="EDM830-013-152"/>
    <d v="1899-12-30T15:50:00"/>
    <d v="1899-12-30T16:59:36"/>
    <n v="1.1600000000000001"/>
    <n v="3"/>
    <s v="3EDMIBERRECHID"/>
    <n v="8.9876033057851245E-4"/>
    <s v="Adaptation pneumatique"/>
    <s v="Changement câbles air pour connecter testeur 12B"/>
    <x v="2"/>
    <s v="AMINE"/>
  </r>
  <r>
    <x v="1"/>
    <x v="1"/>
    <d v="2025-12-30T00:00:00"/>
    <x v="4"/>
    <s v="2025-M12"/>
    <x v="0"/>
    <s v="SALAH"/>
    <s v="APM"/>
    <s v="TEST ICT"/>
    <s v="Testeur ICT"/>
    <x v="3"/>
    <s v="EDMI"/>
    <s v="EDM830-013-152"/>
    <d v="1899-12-30T14:00:00"/>
    <d v="1899-12-30T15:09:36"/>
    <n v="1.1600000000000001"/>
    <n v="3"/>
    <s v="3EDMIBERRECHID"/>
    <n v="8.9876033057851245E-4"/>
    <s v="Taux de rejet excessif"/>
    <s v="Plusieurs positions cartes fail"/>
    <x v="2"/>
    <s v="SAID"/>
  </r>
  <r>
    <x v="1"/>
    <x v="1"/>
    <d v="2025-12-31T00:00:00"/>
    <x v="4"/>
    <s v="2025-M12"/>
    <x v="0"/>
    <s v="OUMAIMA"/>
    <s v="NUIT"/>
    <s v=" TEST BFT"/>
    <s v="Testeur BFT"/>
    <x v="3"/>
    <s v="EDMI"/>
    <s v="EDM830-013-152"/>
    <d v="1899-12-30T02:00:00"/>
    <d v="1899-12-30T03:09:36"/>
    <n v="1.1600000000000001"/>
    <n v="3"/>
    <s v="3EDMIBERRECHID"/>
    <n v="8.9876033057851245E-4"/>
    <s v="Panne applicative banc"/>
    <s v="Disfonctionnement de (tester application SUFT)"/>
    <x v="2"/>
    <s v="SAID+AMINE"/>
  </r>
  <r>
    <x v="1"/>
    <x v="2"/>
    <d v="2025-12-30T00:00:00"/>
    <x v="4"/>
    <s v="2025-M12"/>
    <x v="0"/>
    <s v="KNIDAR"/>
    <s v="NUIT"/>
    <s v="CMS"/>
    <s v="LIGNE 2"/>
    <x v="3"/>
    <s v="EDMI"/>
    <s v="EDM830-010-107BRTISH"/>
    <d v="1899-12-30T22:00:00"/>
    <d v="1899-12-30T01:54:00"/>
    <n v="3.8999999999999986"/>
    <n v="3"/>
    <s v="3EDMIBERRECHID"/>
    <n v="3.0216942148760316E-3"/>
    <s v="Changement de série (Setup)"/>
    <s v="Set-up ligne ES10 + recherche bobines"/>
    <x v="0"/>
    <s v="AYOUB"/>
  </r>
  <r>
    <x v="1"/>
    <x v="2"/>
    <d v="2025-12-30T00:00:00"/>
    <x v="4"/>
    <s v="2025-M12"/>
    <x v="0"/>
    <s v="KNIDAR"/>
    <s v="MATIN"/>
    <s v="CMS"/>
    <s v="LIGNE 2"/>
    <x v="3"/>
    <s v="EDMI"/>
    <s v="EDM830-010-107BRTISH"/>
    <d v="1899-12-30T06:00:00"/>
    <d v="1899-12-30T08:20:00"/>
    <n v="2.333333333333333"/>
    <n v="3"/>
    <s v="3EDMIBERRECHID"/>
    <n v="1.8078512396694211E-3"/>
    <s v="Lancement Nouvelle Réf (Validation)"/>
    <s v="Validation ES10 + recherche bobines"/>
    <x v="2"/>
    <s v="BRAHIM"/>
  </r>
  <r>
    <x v="1"/>
    <x v="2"/>
    <d v="2025-12-30T00:00:00"/>
    <x v="4"/>
    <s v="2025-M12"/>
    <x v="0"/>
    <s v="KNIDAR"/>
    <s v="APM"/>
    <s v="CMS"/>
    <s v="LIGNE 2"/>
    <x v="3"/>
    <s v="EDMI"/>
    <s v="EDM830-010-107BRTISH"/>
    <d v="1899-12-30T14:00:00"/>
    <d v="1899-12-30T14:25:00"/>
    <n v="0.41666666666666519"/>
    <n v="3"/>
    <s v="3EDMIBERRECHID"/>
    <n v="3.2283057851239546E-4"/>
    <s v="Changement de série (Setup)"/>
    <s v="Recherche et changement bobines"/>
    <x v="0"/>
    <s v="MEHDI"/>
  </r>
  <r>
    <x v="1"/>
    <x v="2"/>
    <d v="2025-12-31T00:00:00"/>
    <x v="4"/>
    <s v="2025-M12"/>
    <x v="0"/>
    <s v="KNIDAR"/>
    <s v="NUIT"/>
    <s v="CMS"/>
    <s v="LIGNE 2"/>
    <x v="3"/>
    <s v="EDMI"/>
    <s v="EDM830-010-107BRTISH"/>
    <d v="1899-12-30T22:00:00"/>
    <d v="1899-12-30T23:05:00"/>
    <n v="1.0833333333333348"/>
    <n v="3"/>
    <s v="3EDMIBERRECHID"/>
    <n v="8.393595041322324E-4"/>
    <s v="Changement de série (Setup)"/>
    <s v="Recherche et changement bobines"/>
    <x v="0"/>
    <s v="AYOUB"/>
  </r>
  <r>
    <x v="1"/>
    <x v="2"/>
    <d v="2025-12-31T00:00:00"/>
    <x v="4"/>
    <s v="2025-M12"/>
    <x v="0"/>
    <s v="KHADIM"/>
    <s v="MATIN"/>
    <s v="CMS"/>
    <s v="LIGNE 1"/>
    <x v="7"/>
    <s v="LE RESTE"/>
    <s v="SERRL5B"/>
    <d v="1899-12-30T06:00:00"/>
    <d v="1899-12-30T08:00:00"/>
    <n v="1.9999999999999996"/>
    <n v="2"/>
    <s v="2LE RESTEBERRECHID"/>
    <n v="7.7479338842975187E-4"/>
    <s v="Incident mécanique machine"/>
    <s v="Blocage du support des tables 3 et 4"/>
    <x v="1"/>
    <s v="ABDELHAMID"/>
  </r>
  <r>
    <x v="1"/>
    <x v="2"/>
    <d v="2025-12-31T00:00:00"/>
    <x v="4"/>
    <s v="2025-M12"/>
    <x v="0"/>
    <s v="KNIDAR"/>
    <s v="MATIN"/>
    <s v="CMS"/>
    <s v="LIGNE 2"/>
    <x v="3"/>
    <s v="EDMI"/>
    <s v="EDM830-010-107BRTISH"/>
    <d v="1899-12-30T06:00:00"/>
    <d v="1899-12-30T07:15:00"/>
    <n v="1.2499999999999996"/>
    <n v="3"/>
    <s v="3EDMIBERRECHID"/>
    <n v="9.6849173553718968E-4"/>
    <s v="Changement de série (Setup)"/>
    <s v="Recherche et changement bobines"/>
    <x v="0"/>
    <s v="DRISS"/>
  </r>
  <r>
    <x v="1"/>
    <x v="1"/>
    <d v="2025-12-31T00:00:00"/>
    <x v="4"/>
    <s v="2025-M12"/>
    <x v="0"/>
    <s v="TARIK"/>
    <s v="MATIN"/>
    <s v="FINITION "/>
    <s v="finition 1/2"/>
    <x v="3"/>
    <s v="EDMI"/>
    <s v="EDM830-013-152"/>
    <d v="1899-12-30T08:35:00"/>
    <d v="1899-12-30T10:20:00"/>
    <n v="1.7500000000000004"/>
    <n v="3"/>
    <s v="3EDMIBERRECHID"/>
    <n v="1.3558884297520662E-3"/>
    <s v="Rupture approvisionnement"/>
    <s v="Manque des PCB ES-12B"/>
    <x v="0"/>
    <s v="ABOUDA"/>
  </r>
  <r>
    <x v="1"/>
    <x v="1"/>
    <d v="2025-12-31T00:00:00"/>
    <x v="4"/>
    <s v="2025-M12"/>
    <x v="0"/>
    <s v="TARIK"/>
    <s v="MATIN"/>
    <s v="TESTEUR BFT"/>
    <s v="Testeur BFT"/>
    <x v="3"/>
    <s v="EDMI"/>
    <s v="EDM830-013-152"/>
    <d v="1899-12-30T06:00:00"/>
    <d v="1899-12-30T08:15:00"/>
    <n v="2.25"/>
    <n v="3"/>
    <s v="3EDMIBERRECHID"/>
    <n v="1.743285123966942E-3"/>
    <s v="Temps mort / Attente expert"/>
    <s v="Attente service technique"/>
    <x v="2"/>
    <s v="SAID"/>
  </r>
  <r>
    <x v="1"/>
    <x v="1"/>
    <d v="2025-12-31T00:00:00"/>
    <x v="4"/>
    <s v="2025-M12"/>
    <x v="0"/>
    <s v="TARIK"/>
    <s v="MATIN"/>
    <s v="INTEGRATION"/>
    <s v="integration"/>
    <x v="3"/>
    <s v="EDMI"/>
    <s v="EDMES012BAD-02"/>
    <d v="1899-12-30T06:00:00"/>
    <d v="1899-12-30T08:30:00"/>
    <n v="2.5000000000000004"/>
    <n v="3"/>
    <s v="3EDMIBERRECHID"/>
    <n v="1.9369834710743802E-3"/>
    <s v="Goulot d'étranglement test"/>
    <s v="Attente BFT"/>
    <x v="2"/>
    <s v="SAID"/>
  </r>
  <r>
    <x v="1"/>
    <x v="2"/>
    <d v="2025-12-31T00:00:00"/>
    <x v="4"/>
    <s v="2025-M12"/>
    <x v="0"/>
    <s v="ISMAIL"/>
    <s v="MATIN"/>
    <s v="TEST TAKAYA"/>
    <s v="Takaya-9411"/>
    <x v="4"/>
    <s v="EMS"/>
    <s v="EMSEJ-244"/>
    <d v="1899-12-30T08:30:00"/>
    <d v="1899-12-30T10:00:00"/>
    <n v="1.5"/>
    <n v="2"/>
    <s v="2EMSBERRECHID"/>
    <n v="2.7892561983471081E-4"/>
    <s v="Instabilité matériel (Pointes)"/>
    <s v="Taux faux défaut élevé lié au probe 3"/>
    <x v="1"/>
    <s v="SLIMANE"/>
  </r>
  <r>
    <x v="1"/>
    <x v="1"/>
    <d v="2025-12-31T00:00:00"/>
    <x v="4"/>
    <s v="2025-M12"/>
    <x v="0"/>
    <s v="TARIK"/>
    <s v="MATIN"/>
    <s v="TEST ICT"/>
    <s v="Testeur ICT"/>
    <x v="3"/>
    <s v="EDMI"/>
    <s v="EDM830-013-152"/>
    <d v="1899-12-30T09:20:00"/>
    <d v="1899-12-30T11:00:00"/>
    <n v="1.6666666666666661"/>
    <n v="3"/>
    <s v="3EDMIBERRECHID"/>
    <n v="1.2913223140495862E-3"/>
    <s v="Mise au point logicielle"/>
    <s v="Débogage programme ICT"/>
    <x v="2"/>
    <s v="SAID"/>
  </r>
  <r>
    <x v="1"/>
    <x v="2"/>
    <d v="2025-12-31T00:00:00"/>
    <x v="4"/>
    <s v="2025-M12"/>
    <x v="0"/>
    <s v="KNIDAR"/>
    <s v="APM"/>
    <s v="CMS"/>
    <s v="LIGNE 2"/>
    <x v="3"/>
    <s v="EDMI"/>
    <s v="EDM830-010-107BRTISH"/>
    <d v="1899-12-30T14:00:00"/>
    <d v="1899-12-30T15:15:00"/>
    <n v="1.2499999999999982"/>
    <n v="3"/>
    <s v="3EDMIBERRECHID"/>
    <n v="9.6849173553718859E-4"/>
    <s v="Changement de série (Setup)"/>
    <s v="Recherche composant + changement bobines + déchargement MSL"/>
    <x v="0"/>
    <s v="ABDERRAHMANE+ZOUHAIR"/>
  </r>
  <r>
    <x v="1"/>
    <x v="1"/>
    <d v="2026-01-01T00:00:00"/>
    <x v="5"/>
    <s v="2026-M01"/>
    <x v="1"/>
    <s v="OUMAIMA"/>
    <s v="NUIT"/>
    <s v=" TEST BFT"/>
    <s v="Testeur BFT"/>
    <x v="3"/>
    <s v="EDMI"/>
    <s v="EDM830-013-152"/>
    <d v="1899-12-30T03:30:00"/>
    <d v="1899-12-30T06:00:00"/>
    <n v="2.5000000000000004"/>
    <n v="3"/>
    <s v="3EDMIBERRECHID"/>
    <n v="1.9369834710743802E-3"/>
    <s v="Panne applicative banc"/>
    <s v="Disfonctionnement de (tester application SUFT)"/>
    <x v="2"/>
    <s v="SAID"/>
  </r>
  <r>
    <x v="1"/>
    <x v="1"/>
    <d v="2026-01-01T00:00:00"/>
    <x v="5"/>
    <s v="2026-M01"/>
    <x v="1"/>
    <s v="OUMAIMA"/>
    <s v="NUIT"/>
    <s v="TEST CONFIG"/>
    <s v="Test Config"/>
    <x v="3"/>
    <s v="EDMI"/>
    <s v="EDMES012BAR00"/>
    <d v="1899-12-30T02:00:00"/>
    <d v="1899-12-30T05:00:00"/>
    <n v="3"/>
    <n v="3"/>
    <s v="3EDMIBERRECHID"/>
    <n v="2.3243801652892558E-3"/>
    <s v="Lancement Nouvelle Réf (Validation)"/>
    <s v="Attente validation sampling + changement de réf"/>
    <x v="2"/>
    <s v="PRODUCTION"/>
  </r>
  <r>
    <x v="1"/>
    <x v="1"/>
    <d v="2026-01-01T00:00:00"/>
    <x v="5"/>
    <s v="2026-M01"/>
    <x v="1"/>
    <s v="TARIK"/>
    <s v="MATIN"/>
    <s v=" TEST BFT"/>
    <s v="Testeur BFT/integration"/>
    <x v="3"/>
    <s v="EDMI"/>
    <s v="EDM830-013-152"/>
    <d v="1899-12-30T06:00:00"/>
    <d v="1899-12-30T08:10:00"/>
    <n v="2.166666666666667"/>
    <n v="3"/>
    <s v="3EDMIBERRECHID"/>
    <n v="1.6787190082644629E-3"/>
    <s v="Panne matérielle banc"/>
    <s v="Testeur BFT DISPLAY 1 ne fonctionne pas"/>
    <x v="2"/>
    <s v="SAID (À DISTANCE)"/>
  </r>
  <r>
    <x v="1"/>
    <x v="1"/>
    <d v="2026-01-01T00:00:00"/>
    <x v="5"/>
    <s v="2026-M01"/>
    <x v="1"/>
    <s v="TARIK"/>
    <s v="MATIN"/>
    <s v=" TEST BFT"/>
    <s v="laser/config/emballage"/>
    <x v="3"/>
    <s v="EDMI"/>
    <s v="EDMES012BAR00"/>
    <d v="1899-12-30T06:00:00"/>
    <d v="1899-12-30T09:16:00"/>
    <n v="3.2666666666666671"/>
    <n v="3"/>
    <s v="3EDMIBERRECHID"/>
    <n v="2.5309917355371904E-3"/>
    <s v="Déséquilibre de flux aval"/>
    <s v="Postes config et emballage impactés par arrêt BFT"/>
    <x v="2"/>
    <s v="SAID (À DISTANCE)"/>
  </r>
  <r>
    <x v="1"/>
    <x v="1"/>
    <d v="2026-01-01T00:00:00"/>
    <x v="5"/>
    <s v="2026-M01"/>
    <x v="1"/>
    <s v="OUMAIMA"/>
    <s v="NUIT"/>
    <s v="TEST CONFIG"/>
    <s v="Test Config"/>
    <x v="3"/>
    <s v="EDMI"/>
    <s v="EDMES012BAR00"/>
    <d v="1899-12-30T11:00:00"/>
    <d v="1899-12-30T13:30:00"/>
    <n v="2.5000000000000004"/>
    <n v="3"/>
    <s v="3EDMIBERRECHID"/>
    <n v="1.9369834710743802E-3"/>
    <s v="Lancement Nouvelle Réf (Validation)"/>
    <s v="Attente validation de sampling"/>
    <x v="2"/>
    <s v="PRODUCTION"/>
  </r>
  <r>
    <x v="1"/>
    <x v="1"/>
    <d v="2026-01-02T00:00:00"/>
    <x v="5"/>
    <s v="2026-M01"/>
    <x v="1"/>
    <s v="TARIK"/>
    <s v="MATIN"/>
    <s v="TEST CONFIG"/>
    <s v="Test Config"/>
    <x v="3"/>
    <s v="EDMI"/>
    <s v="EDMES012BAR01"/>
    <d v="1899-12-30T06:00:00"/>
    <d v="1899-12-30T06:20:00"/>
    <n v="0.33333333333333348"/>
    <n v="3"/>
    <s v="3EDMIBERRECHID"/>
    <n v="2.5826446280991742E-4"/>
    <s v="Lancement Nouvelle Réf (Validation)"/>
    <s v="Attente validation sampling"/>
    <x v="2"/>
    <s v="PRODUCTION"/>
  </r>
  <r>
    <x v="1"/>
    <x v="1"/>
    <d v="2026-01-02T00:00:00"/>
    <x v="5"/>
    <s v="2026-M01"/>
    <x v="1"/>
    <s v="TARIK"/>
    <s v="MATIN"/>
    <s v=" TEST BFT"/>
    <s v="integration/calibration"/>
    <x v="3"/>
    <s v="EDMI"/>
    <s v="EDMES012BAD-02"/>
    <d v="1899-12-30T08:30:00"/>
    <d v="1899-12-30T10:50:00"/>
    <n v="2.333333333333333"/>
    <n v="3"/>
    <s v="3EDMIBERRECHID"/>
    <n v="1.8078512396694211E-3"/>
    <s v="Mise au point logicielle"/>
    <s v="Débogage du programme BFT display 2"/>
    <x v="2"/>
    <s v="SAID"/>
  </r>
  <r>
    <x v="1"/>
    <x v="1"/>
    <d v="2026-01-02T00:00:00"/>
    <x v="5"/>
    <s v="2026-M01"/>
    <x v="1"/>
    <s v="OUMAIMA"/>
    <s v="APM"/>
    <s v=" TEST BFT"/>
    <s v="integration/calibration"/>
    <x v="3"/>
    <s v="EDMI"/>
    <s v="EDMES012BAD-02"/>
    <d v="1899-12-30T15:10:00"/>
    <d v="1899-12-30T15:46:00"/>
    <n v="0.60000000000000053"/>
    <n v="3"/>
    <s v="3EDMIBERRECHID"/>
    <n v="4.6487603305785162E-4"/>
    <s v="Indisponibilité excessive"/>
    <s v="Taux de pannes élevé"/>
    <x v="2"/>
    <s v="SAID+AMINE"/>
  </r>
  <r>
    <x v="1"/>
    <x v="1"/>
    <d v="2026-01-02T00:00:00"/>
    <x v="5"/>
    <s v="2026-M01"/>
    <x v="1"/>
    <s v="TARIK"/>
    <s v="APM"/>
    <s v="TEST UFT "/>
    <s v="UFT/:i-pot/calibration"/>
    <x v="3"/>
    <s v="EDMI"/>
    <s v="EDMES012BAD-02"/>
    <d v="1899-12-30T18:50:00"/>
    <d v="1899-12-30T19:30:00"/>
    <n v="0.66666666666666696"/>
    <n v="3"/>
    <s v="3EDMIBERRECHID"/>
    <n v="5.1652892561983483E-4"/>
    <s v="Panne logicielle testeur"/>
    <s v="L'application du testeur UFT ne fonctionne pas"/>
    <x v="2"/>
    <s v="SAID"/>
  </r>
  <r>
    <x v="1"/>
    <x v="2"/>
    <d v="2026-01-04T00:00:00"/>
    <x v="6"/>
    <s v="2026-M01"/>
    <x v="1"/>
    <s v="KNIDAR"/>
    <s v="NUIT"/>
    <s v="CMS"/>
    <s v="LIGNE 2"/>
    <x v="3"/>
    <s v="EDMI"/>
    <s v="EDM830-010-107BRTISH"/>
    <d v="1899-12-30T22:00:00"/>
    <d v="1899-12-30T22:30:00"/>
    <n v="0.50000000000000089"/>
    <n v="3"/>
    <s v="3EDMIBERRECHID"/>
    <n v="3.8739669421487669E-4"/>
    <s v="Changement de série (Setup)"/>
    <s v="Changement bobines + recherche composant"/>
    <x v="0"/>
    <s v="MEHDI"/>
  </r>
  <r>
    <x v="1"/>
    <x v="1"/>
    <d v="2026-01-05T00:00:00"/>
    <x v="6"/>
    <s v="2026-M01"/>
    <x v="1"/>
    <s v="TARIK"/>
    <s v="NUIT"/>
    <s v="TEST ICT"/>
    <s v="Testeur ICT"/>
    <x v="3"/>
    <s v="EDMI"/>
    <s v="EDM830-010-107BRTIS:"/>
    <d v="1899-12-30T22:00:00"/>
    <d v="1899-12-30T06:00:00"/>
    <n v="8"/>
    <n v="3"/>
    <s v="3EDMIBERRECHID"/>
    <n v="6.1983471074380158E-3"/>
    <s v="Contrainte environnementale"/>
    <s v="Problème humidité ICT "/>
    <x v="1"/>
    <s v="SLIMANE/BATAR"/>
  </r>
  <r>
    <x v="1"/>
    <x v="1"/>
    <d v="2026-01-05T00:00:00"/>
    <x v="6"/>
    <s v="2026-M01"/>
    <x v="1"/>
    <s v="SALAH"/>
    <s v="MATIN"/>
    <s v=" TEST BFT"/>
    <s v="Testeur BFT/DISPLAY 2"/>
    <x v="3"/>
    <s v="EDMI"/>
    <s v="EDMES012BAD-02"/>
    <d v="1899-12-30T09:25:00"/>
    <d v="1899-12-30T10:26:00"/>
    <n v="1.0166666666666671"/>
    <n v="3"/>
    <s v="3EDMIBERRECHID"/>
    <n v="7.8770661157024811E-4"/>
    <s v="Défaillance réseau pneumatique"/>
    <s v="Tuyau air dégradé"/>
    <x v="1"/>
    <s v="SLIMANE"/>
  </r>
  <r>
    <x v="1"/>
    <x v="1"/>
    <d v="2026-01-05T00:00:00"/>
    <x v="6"/>
    <s v="2026-M01"/>
    <x v="1"/>
    <s v="SALAH"/>
    <s v="MATIN"/>
    <s v=" TEST BFT"/>
    <s v="INTEGRATION/UFT"/>
    <x v="3"/>
    <s v="EDMI"/>
    <s v="EDMES012BAD-02"/>
    <d v="1899-12-30T10:20:00"/>
    <d v="1899-12-30T10:40:00"/>
    <n v="0.33333333333333215"/>
    <n v="3"/>
    <s v="3EDMIBERRECHID"/>
    <n v="2.5826446280991644E-4"/>
    <s v="Retard lancement test"/>
    <s v="Attente démarrage BFT"/>
    <x v="1"/>
    <s v="SLIMANE"/>
  </r>
  <r>
    <x v="1"/>
    <x v="1"/>
    <d v="2026-01-05T00:00:00"/>
    <x v="6"/>
    <s v="2026-M01"/>
    <x v="1"/>
    <s v="SALAH"/>
    <s v="MATIN"/>
    <s v="TEST ICT"/>
    <s v="Testeur ICT"/>
    <x v="3"/>
    <s v="EDMI"/>
    <s v="EDM830-010-107BRTIS:"/>
    <d v="1899-12-30T06:00:00"/>
    <d v="1899-12-30T11:20:00"/>
    <n v="5.333333333333333"/>
    <n v="3"/>
    <s v="3EDMIBERRECHID"/>
    <n v="4.1322314049586769E-3"/>
    <s v="Panne curative machine"/>
    <s v="Test ICT en panne"/>
    <x v="1"/>
    <s v="SLIMANE"/>
  </r>
  <r>
    <x v="1"/>
    <x v="1"/>
    <d v="2026-01-05T00:00:00"/>
    <x v="6"/>
    <s v="2026-M01"/>
    <x v="1"/>
    <s v="SALAH"/>
    <s v="MATIN"/>
    <s v="POSTE LASER "/>
    <s v="Poste Laser "/>
    <x v="3"/>
    <s v="EDMI"/>
    <s v="EDMES012BAXBA"/>
    <d v="1899-12-30T06:00:00"/>
    <d v="1899-12-30T12:40:00"/>
    <n v="6.666666666666667"/>
    <n v="3"/>
    <s v="3EDMIBERRECHID"/>
    <n v="5.1652892561983464E-3"/>
    <s v="Lancement Nouvelle Réf (Validation)"/>
    <s v="Attent validation nouvelle reference 12B"/>
    <x v="2"/>
    <s v="ADAM"/>
  </r>
  <r>
    <x v="1"/>
    <x v="1"/>
    <d v="2026-01-05T00:00:00"/>
    <x v="6"/>
    <s v="2026-M01"/>
    <x v="1"/>
    <s v="SALAH"/>
    <s v="MATIN"/>
    <s v="TEST CONFIG"/>
    <s v="Test Config"/>
    <x v="3"/>
    <s v="EDMI"/>
    <s v="EDMES012BAXBA"/>
    <d v="1899-12-30T06:00:00"/>
    <d v="1899-12-30T13:40:00"/>
    <n v="7.6666666666666661"/>
    <n v="3"/>
    <s v="3EDMIBERRECHID"/>
    <n v="5.9400826446280985E-3"/>
    <s v="Lancement Nouvelle Réf (Validation)"/>
    <s v="Attent validation nouvelle reference 12B"/>
    <x v="2"/>
    <s v="SAID"/>
  </r>
  <r>
    <x v="1"/>
    <x v="1"/>
    <d v="2026-01-05T00:00:00"/>
    <x v="6"/>
    <s v="2026-M01"/>
    <x v="1"/>
    <s v="OUMAIMA"/>
    <s v="APM"/>
    <s v="POSTE LASER "/>
    <s v="Poste Laser "/>
    <x v="3"/>
    <s v="EDMI"/>
    <s v="EDMES012BAXBA"/>
    <d v="1899-12-30T21:00:00"/>
    <d v="1899-12-30T22:00:00"/>
    <n v="0.99999999999999911"/>
    <n v="3"/>
    <s v="3EDMIBERRECHID"/>
    <n v="7.7479338842975133E-4"/>
    <s v="Changement de série (Setup)"/>
    <s v="Basculement de reference 12B à 10B"/>
    <x v="0"/>
    <s v="HOUSSAM"/>
  </r>
  <r>
    <x v="1"/>
    <x v="2"/>
    <d v="2026-01-05T00:00:00"/>
    <x v="6"/>
    <s v="2026-M01"/>
    <x v="1"/>
    <s v="ISMAIL"/>
    <s v="APM"/>
    <s v="TEST TAKAYA"/>
    <s v="Takaya-9400"/>
    <x v="8"/>
    <s v="LE RESTE"/>
    <s v="GRE619188870-R"/>
    <d v="1899-12-30T20:54:00"/>
    <d v="1899-12-30T22:00:00"/>
    <n v="1.0999999999999988"/>
    <n v="2"/>
    <s v="2LE RESTEBERRECHID"/>
    <n v="4.2613636363636313E-4"/>
    <s v="Défaillance méca répétitive"/>
    <s v="Courroie du convoyeur sortie (Arrets Réccurents)"/>
    <x v="1"/>
    <s v="LAHMIDI DRISS"/>
  </r>
  <r>
    <x v="1"/>
    <x v="2"/>
    <d v="2026-01-06T00:00:00"/>
    <x v="6"/>
    <s v="2026-M01"/>
    <x v="1"/>
    <s v="ISMAIL"/>
    <s v="MATIN"/>
    <s v="TEST TAKAYA"/>
    <s v="Takaya-9400"/>
    <x v="8"/>
    <s v="LE RESTE"/>
    <s v="GRE619188870-R"/>
    <d v="1899-12-30T06:00:00"/>
    <d v="1899-12-30T06:45:00"/>
    <n v="0.75"/>
    <n v="2"/>
    <s v="2LE RESTEBERRECHID"/>
    <n v="2.9054752066115698E-4"/>
    <s v="Défaillance méca répétitive"/>
    <s v="Courroie du convoyeur sortie (Arrets Réccurents)"/>
    <x v="1"/>
    <s v="LAHMIDI DRISS"/>
  </r>
  <r>
    <x v="1"/>
    <x v="1"/>
    <d v="2026-01-06T00:00:00"/>
    <x v="6"/>
    <s v="2026-M01"/>
    <x v="1"/>
    <s v="TARIK"/>
    <s v="NUIT"/>
    <s v="TEST CONFIG"/>
    <s v="Test Config"/>
    <x v="3"/>
    <s v="EDMI"/>
    <s v="EDMES010BAU10"/>
    <d v="1899-12-30T22:40:00"/>
    <d v="1899-12-30T02:40:00"/>
    <n v="4"/>
    <n v="3"/>
    <s v="3EDMIBERRECHID"/>
    <n v="3.0991735537190079E-3"/>
    <s v="Blocage attente décision"/>
    <s v="Attente integration et sampling"/>
    <x v="2"/>
    <s v=""/>
  </r>
  <r>
    <x v="1"/>
    <x v="1"/>
    <d v="2026-01-06T00:00:00"/>
    <x v="6"/>
    <s v="2026-M01"/>
    <x v="1"/>
    <s v="TARIK"/>
    <s v="NUIT"/>
    <s v="TEST CONFIG"/>
    <s v="Test Config"/>
    <x v="3"/>
    <s v="EDMI"/>
    <s v="EDMES010BAU10"/>
    <d v="1899-12-30T05:00:00"/>
    <d v="1899-12-30T06:00:00"/>
    <n v="0.99999999999999978"/>
    <n v="3"/>
    <s v="3EDMIBERRECHID"/>
    <n v="7.7479338842975187E-4"/>
    <s v="Blocage attente décision"/>
    <s v="Attente sampling"/>
    <x v="2"/>
    <s v=""/>
  </r>
  <r>
    <x v="1"/>
    <x v="2"/>
    <d v="2026-01-05T00:00:00"/>
    <x v="6"/>
    <s v="2026-M01"/>
    <x v="1"/>
    <s v="KNIDAR"/>
    <s v="NUIT"/>
    <s v="CMS"/>
    <s v="LIGNE2"/>
    <x v="3"/>
    <s v="EDMI"/>
    <s v="EDM830-010-107BRTISH"/>
    <d v="1899-12-30T22:00:00"/>
    <d v="1899-12-30T23:00:00"/>
    <n v="1.0000000000000018"/>
    <n v="3"/>
    <s v="3EDMIBERRECHID"/>
    <n v="7.7479338842975339E-4"/>
    <s v="Arrêt énergie nocturne"/>
    <s v="Coupure électrique (1 heure : 22h à 23h)"/>
    <x v="1"/>
    <s v="ABDELHAMID/BATAR"/>
  </r>
  <r>
    <x v="1"/>
    <x v="2"/>
    <d v="2026-01-05T00:00:00"/>
    <x v="6"/>
    <s v="2026-M01"/>
    <x v="1"/>
    <s v="KNIDAR"/>
    <s v="NUIT"/>
    <s v="CMS"/>
    <s v="LIGNE2"/>
    <x v="3"/>
    <s v="EDMI"/>
    <s v="EDM830-010-107BRTISH"/>
    <d v="1899-12-30T02:45:00"/>
    <d v="1899-12-30T03:15:00"/>
    <n v="0.49999999999999989"/>
    <n v="3"/>
    <s v="3EDMIBERRECHID"/>
    <n v="3.8739669421487594E-4"/>
    <s v="Coupure réseau informatique"/>
    <s v="Problème communication lié au réseau"/>
    <x v="3"/>
    <s v="AYOUB"/>
  </r>
  <r>
    <x v="1"/>
    <x v="1"/>
    <d v="2026-01-07T00:00:00"/>
    <x v="6"/>
    <s v="2026-M01"/>
    <x v="1"/>
    <s v="TARIK"/>
    <s v="NUIT"/>
    <s v="FINITION "/>
    <s v="Finition"/>
    <x v="3"/>
    <s v="EDMI"/>
    <s v="EDM830-010-107BRTIS:"/>
    <d v="1899-12-30T01:50:00"/>
    <d v="1899-12-30T06:00:00"/>
    <n v="4.1666666666666661"/>
    <n v="3"/>
    <s v="3EDMIBERRECHID"/>
    <n v="3.2283057851239662E-3"/>
    <s v="Rupture approvisionnement"/>
    <s v="Manque composant : EDM820-00017 (afficheur)"/>
    <x v="0"/>
    <s v="BOUDRA "/>
  </r>
  <r>
    <x v="1"/>
    <x v="2"/>
    <d v="2026-01-07T00:00:00"/>
    <x v="6"/>
    <s v="2026-M01"/>
    <x v="1"/>
    <s v="KNIDAR"/>
    <s v="NUIT"/>
    <s v="CMS"/>
    <s v="LIGNE2"/>
    <x v="3"/>
    <s v="EDMI"/>
    <s v="EDM830-010-107BRTISH"/>
    <d v="1899-12-30T22:00:00"/>
    <d v="1899-12-30T22:25:00"/>
    <n v="0.41666666666666785"/>
    <n v="3"/>
    <s v="3EDMIBERRECHID"/>
    <n v="3.2283057851239757E-4"/>
    <s v="Changement de série (Setup)"/>
    <s v="Changement bobines + recherche + manque composant"/>
    <x v="0"/>
    <s v="MEHDI"/>
  </r>
  <r>
    <x v="1"/>
    <x v="2"/>
    <d v="2026-01-07T00:00:00"/>
    <x v="6"/>
    <s v="2026-M01"/>
    <x v="1"/>
    <s v="KNIDAR"/>
    <s v="MATIN"/>
    <s v="CMS"/>
    <s v="LIGNE2"/>
    <x v="3"/>
    <s v="EDMI"/>
    <s v="EDM830-010-107BRTISH"/>
    <d v="1899-12-30T06:00:00"/>
    <d v="1899-12-30T06:15:00"/>
    <n v="0.25000000000000044"/>
    <n v="3"/>
    <s v="3EDMIBERRECHID"/>
    <n v="1.9369834710743835E-4"/>
    <s v="Changement de série (Setup)"/>
    <s v="Changement bobines + recherche + manque composant"/>
    <x v="0"/>
    <s v="JADYANI "/>
  </r>
  <r>
    <x v="1"/>
    <x v="2"/>
    <d v="2026-01-07T00:00:00"/>
    <x v="6"/>
    <s v="2026-M01"/>
    <x v="1"/>
    <s v="KNIDAR"/>
    <s v="APM"/>
    <s v="CMS"/>
    <s v="LIGNE2"/>
    <x v="3"/>
    <s v="EDMI"/>
    <s v="EDM830-010-107BRTISH"/>
    <d v="1899-12-30T14:00:00"/>
    <d v="1899-12-30T22:00:00"/>
    <n v="7.9999999999999982"/>
    <n v="3"/>
    <s v="3EDMIBERRECHID"/>
    <n v="6.198347107438015E-3"/>
    <s v="Changement de série (Setup)"/>
    <s v="Recherche composants + changement + pilote en formation"/>
    <x v="0"/>
    <s v="YOUNESS"/>
  </r>
  <r>
    <x v="1"/>
    <x v="2"/>
    <d v="2026-01-08T00:00:00"/>
    <x v="6"/>
    <s v="2026-M01"/>
    <x v="1"/>
    <s v="KNIDAR"/>
    <s v="MATIN"/>
    <s v="CMS"/>
    <s v="LIGNE2"/>
    <x v="3"/>
    <s v="EDMI"/>
    <s v="EDM830-010-107BRTISH"/>
    <d v="1899-12-30T06:00:00"/>
    <d v="1899-12-30T14:00:00"/>
    <n v="8"/>
    <n v="3"/>
    <s v="3EDMIBERRECHID"/>
    <n v="6.1983471074380158E-3"/>
    <s v="Changement de série (Setup)"/>
    <s v="Recherche composants + changement + manque composant"/>
    <x v="0"/>
    <s v="MEHDI"/>
  </r>
  <r>
    <x v="0"/>
    <x v="0"/>
    <d v="2026-01-06T00:00:00"/>
    <x v="6"/>
    <s v="2026-M01"/>
    <x v="1"/>
    <s v="SAMIRA"/>
    <s v="NORMALE"/>
    <s v="CÂBALGE"/>
    <s v="Câbalge"/>
    <x v="0"/>
    <s v="LECLANCHÉ"/>
    <s v="NA"/>
    <d v="1899-12-30T13:00:00"/>
    <d v="1899-12-30T18:00:00"/>
    <n v="5.0000000000000142"/>
    <n v="1"/>
    <s v="1LECLANCHÉTEMARA"/>
    <n v="4.1592590812992627E-3"/>
    <s v="Audit / Standard 5S"/>
    <s v="Visite CAF - Rangement 5S"/>
    <x v="6"/>
    <s v="SAMIRA"/>
  </r>
  <r>
    <x v="0"/>
    <x v="0"/>
    <d v="2026-01-06T00:00:00"/>
    <x v="6"/>
    <s v="2026-M01"/>
    <x v="1"/>
    <s v="DAHAB"/>
    <s v="NORMALE"/>
    <s v="TEST"/>
    <s v="Test"/>
    <x v="1"/>
    <s v="ABB"/>
    <s v="NA"/>
    <d v="1899-12-30T14:00:00"/>
    <d v="1899-12-30T18:00:00"/>
    <n v="3.9999999999999858"/>
    <n v="1"/>
    <s v="1ABBTEMARA"/>
    <n v="6.9701374207187918E-3"/>
    <s v="Réorganisation physique"/>
    <s v="Déplacement d'atelier"/>
    <x v="6"/>
    <s v="SOUFIANE/_x000a_NAWFEL"/>
  </r>
  <r>
    <x v="0"/>
    <x v="0"/>
    <d v="2026-01-06T00:00:00"/>
    <x v="6"/>
    <s v="2026-M01"/>
    <x v="1"/>
    <s v="DAHAB"/>
    <s v="NORMALE"/>
    <s v="PRÉPARATION"/>
    <s v="Preparation hors carte"/>
    <x v="1"/>
    <s v="ABB"/>
    <s v="NA"/>
    <d v="1899-12-30T14:00:00"/>
    <d v="1899-12-30T16:00:00"/>
    <n v="1.9999999999999716"/>
    <n v="1"/>
    <s v="1ABBTEMARA"/>
    <n v="3.4850687103593586E-3"/>
    <s v="Réorganisation physique"/>
    <s v="Déplacement d'atelier"/>
    <x v="6"/>
    <s v="SOUFIANE/_x000a_NAWFEL"/>
  </r>
  <r>
    <x v="0"/>
    <x v="0"/>
    <d v="2026-01-07T00:00:00"/>
    <x v="6"/>
    <s v="2026-M01"/>
    <x v="1"/>
    <s v="DAHAB"/>
    <s v="NORMALE"/>
    <s v="TEST"/>
    <s v="test diélectrique_x000a_(T4676-01)"/>
    <x v="1"/>
    <s v="ABB"/>
    <s v="NA"/>
    <d v="1899-12-30T10:00:00"/>
    <d v="1899-12-30T18:00:00"/>
    <n v="8.0000000000000142"/>
    <n v="1"/>
    <s v="1ABBTEMARA"/>
    <n v="1.3940274841437656E-2"/>
    <s v="Réorganisation physique"/>
    <s v="Déplacement d'atelier"/>
    <x v="6"/>
    <s v="SOUFIANE/_x000a_NAWFEL"/>
  </r>
  <r>
    <x v="0"/>
    <x v="0"/>
    <d v="2026-01-07T00:00:00"/>
    <x v="6"/>
    <s v="2026-M01"/>
    <x v="1"/>
    <s v="DAHAB"/>
    <s v="NORMALE"/>
    <s v="BRASAGE"/>
    <s v="Brasage"/>
    <x v="1"/>
    <s v="ABB"/>
    <s v="NA"/>
    <d v="1899-12-30T13:20:00"/>
    <d v="1899-12-30T18:00:00"/>
    <n v="4.6666666666666714"/>
    <n v="1"/>
    <s v="1ABBTEMARA"/>
    <n v="8.1318269908386264E-3"/>
    <s v="Audit / Standard 5S"/>
    <s v="Visite CAF - Rangement 5S"/>
    <x v="6"/>
    <s v="DAHAB"/>
  </r>
  <r>
    <x v="0"/>
    <x v="0"/>
    <d v="2026-01-07T00:00:00"/>
    <x v="6"/>
    <s v="2026-M01"/>
    <x v="1"/>
    <s v="DAHAB"/>
    <s v="NORMALE"/>
    <s v="FERMETURE"/>
    <s v="Fermeture"/>
    <x v="1"/>
    <s v="ABB"/>
    <s v="NA"/>
    <d v="1899-12-30T13:20:00"/>
    <d v="1899-12-30T18:00:00"/>
    <n v="4.6666666666666714"/>
    <n v="1"/>
    <s v="1ABBTEMARA"/>
    <n v="8.1318269908386264E-3"/>
    <s v="Audit / Standard 5S"/>
    <s v="Visite CAF - Rangement 5S"/>
    <x v="6"/>
    <s v="DAHAB"/>
  </r>
  <r>
    <x v="0"/>
    <x v="0"/>
    <d v="2026-01-07T00:00:00"/>
    <x v="6"/>
    <s v="2026-M01"/>
    <x v="1"/>
    <s v="DAHAB"/>
    <s v="NORMALE"/>
    <s v="TOMPGRAPHIE"/>
    <s v="Tompgraphie"/>
    <x v="1"/>
    <s v="ABB"/>
    <s v="NA"/>
    <d v="1899-12-30T13:20:00"/>
    <d v="1899-12-30T18:00:00"/>
    <n v="4.6666666666666714"/>
    <n v="1"/>
    <s v="1ABBTEMARA"/>
    <n v="8.1318269908386264E-3"/>
    <s v="Audit / Standard 5S"/>
    <s v="Visite CAF - Rangement 5S"/>
    <x v="6"/>
    <s v="DAHAB"/>
  </r>
  <r>
    <x v="0"/>
    <x v="0"/>
    <d v="2026-01-07T00:00:00"/>
    <x v="6"/>
    <s v="2026-M01"/>
    <x v="1"/>
    <s v="DAHAB"/>
    <s v="NORMALE"/>
    <s v="TEST"/>
    <s v="Test"/>
    <x v="1"/>
    <s v="ABB"/>
    <s v="NA"/>
    <d v="1899-12-30T13:20:00"/>
    <d v="1899-12-30T18:00:00"/>
    <n v="4.6666666666666714"/>
    <n v="1"/>
    <s v="1ABBTEMARA"/>
    <n v="8.1318269908386264E-3"/>
    <s v="Audit / Standard 5S"/>
    <s v="Visite CAF - Rangement 5S"/>
    <x v="6"/>
    <s v="DAHAB"/>
  </r>
  <r>
    <x v="0"/>
    <x v="0"/>
    <d v="2026-01-08T00:00:00"/>
    <x v="6"/>
    <s v="2026-M01"/>
    <x v="1"/>
    <s v="DAHAB"/>
    <s v="NORMALE"/>
    <s v="TEST"/>
    <s v="test diélectrique_x000a_(T4676-01)"/>
    <x v="1"/>
    <s v="ABB"/>
    <n v="5012"/>
    <d v="1899-12-30T09:00:00"/>
    <d v="1899-12-30T18:00:00"/>
    <n v="9"/>
    <n v="1"/>
    <s v="1ABBTEMARA"/>
    <n v="1.5682809196617336E-2"/>
    <s v="Défaillance électrique banc de  test"/>
    <s v="Problème d'alimentation sur le banc de test déilectrique"/>
    <x v="1"/>
    <s v="ANAS/_x000a_NAWFEL"/>
  </r>
  <r>
    <x v="0"/>
    <x v="0"/>
    <d v="2026-01-07T00:00:00"/>
    <x v="6"/>
    <s v="2026-M01"/>
    <x v="1"/>
    <s v="BADIA"/>
    <s v="NORMALE "/>
    <s v="MONTAGE INTEGRATION"/>
    <s v="Montage integration"/>
    <x v="9"/>
    <s v="LE RESTE"/>
    <s v="NA"/>
    <d v="1899-12-30T13:00:00"/>
    <d v="1899-12-30T18:00:00"/>
    <n v="5.0000000000000009"/>
    <n v="1"/>
    <s v="1LE RESTETEMARA"/>
    <n v="1.0841101287718624E-2"/>
    <s v="Audit / Standard 5S"/>
    <s v="Visite CAF - Rangement 5S"/>
    <x v="6"/>
    <s v="BADIA"/>
  </r>
  <r>
    <x v="0"/>
    <x v="0"/>
    <d v="2026-01-08T00:00:00"/>
    <x v="6"/>
    <s v="2026-M01"/>
    <x v="1"/>
    <s v="BADIA "/>
    <s v="NORMALE "/>
    <s v="MONTAGE INTEGRATION"/>
    <s v="Montage integration"/>
    <x v="10"/>
    <s v="SOLUSCOPE"/>
    <s v="NA"/>
    <d v="1899-12-30T13:00:00"/>
    <d v="1899-12-30T18:00:00"/>
    <n v="5.0000000000000009"/>
    <n v="1"/>
    <s v="1SOLUSCOPETEMARA"/>
    <n v="9.5723020372861828E-4"/>
    <s v="Audit / Standard 5S"/>
    <s v="Visite CAF - Rangement 5S"/>
    <x v="6"/>
    <s v="BADIA"/>
  </r>
  <r>
    <x v="0"/>
    <x v="0"/>
    <d v="2026-01-08T00:00:00"/>
    <x v="6"/>
    <s v="2026-M01"/>
    <x v="1"/>
    <s v="DAHAB"/>
    <s v="NORMALE"/>
    <s v="BRASAGE"/>
    <s v="Brasage"/>
    <x v="1"/>
    <s v="ABB"/>
    <s v="NA"/>
    <d v="1899-12-30T08:30:00"/>
    <d v="1899-12-30T09:30:00"/>
    <n v="1.0000000000000004"/>
    <n v="1"/>
    <s v="1ABBTEMARA"/>
    <n v="1.7425343551797049E-3"/>
    <s v="Manque accessoires de pose"/>
    <s v="Arrêt postes (manque boutons ESD et alimentation)"/>
    <x v="1"/>
    <s v="ANAS/_x000a_NAWFEL"/>
  </r>
  <r>
    <x v="1"/>
    <x v="2"/>
    <d v="2026-01-08T00:00:00"/>
    <x v="6"/>
    <s v="2026-M01"/>
    <x v="1"/>
    <s v="ISMAIL"/>
    <s v="MATIN "/>
    <s v="TEST FONCTIONNEL"/>
    <s v="Programmation carte _x000a_EMSEJ-099B/B"/>
    <x v="4"/>
    <s v="EMS"/>
    <s v="EMSEJ-099B/B"/>
    <d v="1899-12-30T14:00:00"/>
    <d v="1899-12-30T15:00:00"/>
    <n v="0.99999999999999911"/>
    <n v="2"/>
    <s v="2EMSBERRECHID"/>
    <n v="1.8595041322314035E-4"/>
    <s v="Anomalie alim programmateur"/>
    <s v="Programmer supply voltage is out of valid range"/>
    <x v="2"/>
    <s v="ILHAM"/>
  </r>
  <r>
    <x v="1"/>
    <x v="2"/>
    <d v="2026-01-08T00:00:00"/>
    <x v="6"/>
    <s v="2026-M01"/>
    <x v="1"/>
    <s v="KNIDAR"/>
    <s v="APM"/>
    <s v="CMS"/>
    <s v="LIGNE2"/>
    <x v="3"/>
    <s v="EDMI"/>
    <s v="EDM830-010-107BRTISH"/>
    <d v="1899-12-30T14:00:00"/>
    <d v="1899-12-30T16:00:00"/>
    <n v="1.9999999999999982"/>
    <n v="3"/>
    <s v="3EDMIBERRECHID"/>
    <n v="1.5495867768595027E-3"/>
    <s v="Rupture approvisionnement"/>
    <s v="Manque du composant EDM180-00612"/>
    <x v="0"/>
    <s v="BOUDRA"/>
  </r>
  <r>
    <x v="1"/>
    <x v="2"/>
    <d v="2026-01-08T00:00:00"/>
    <x v="6"/>
    <s v="2026-M01"/>
    <x v="1"/>
    <s v="ISMAIL"/>
    <s v="APM"/>
    <s v="TEST TAKAYA"/>
    <s v="Takaya-9400"/>
    <x v="4"/>
    <s v="EMS"/>
    <s v="DEBEJ-184A"/>
    <d v="1899-12-30T21:20:00"/>
    <d v="1899-12-30T22:00:00"/>
    <n v="0.66666666666666696"/>
    <n v="2"/>
    <s v="2EMSBERRECHID"/>
    <n v="1.2396694214876041E-4"/>
    <s v="Accident travail / Incident élec"/>
    <s v="Accident maintenance (chute) causant coupure électricité"/>
    <x v="1"/>
    <s v="SOUS TRAITANCE"/>
  </r>
  <r>
    <x v="1"/>
    <x v="2"/>
    <d v="2026-01-09T00:00:00"/>
    <x v="6"/>
    <s v="2026-M01"/>
    <x v="1"/>
    <s v="ISMAIL"/>
    <s v="MATIN "/>
    <s v="TEST FONCTIONNEL"/>
    <s v="Programmation carte _x000a_EMSEJ-099B/B"/>
    <x v="4"/>
    <s v="EMS"/>
    <s v="EMSEJ-099B/B"/>
    <d v="1899-12-30T07:00:00"/>
    <d v="1899-12-30T08:30:00"/>
    <n v="1.5"/>
    <n v="2"/>
    <s v="2EMSBERRECHID"/>
    <n v="2.7892561983471081E-4"/>
    <s v="Anomalie alim programmateur"/>
    <s v="Programmer supply voltage is out of valid range"/>
    <x v="2"/>
    <s v="ILHAM"/>
  </r>
  <r>
    <x v="1"/>
    <x v="2"/>
    <d v="2026-01-09T00:00:00"/>
    <x v="6"/>
    <s v="2026-M01"/>
    <x v="1"/>
    <s v="KNIDAR"/>
    <s v="NUIT"/>
    <s v="CMS"/>
    <s v="LIGNE2"/>
    <x v="3"/>
    <s v="EDMI"/>
    <s v="EDM830-010-107BRTISH"/>
    <d v="1899-12-30T22:00:00"/>
    <d v="1899-12-30T01:48:00"/>
    <n v="3.8000000000000007"/>
    <n v="3"/>
    <s v="3EDMIBERRECHID"/>
    <n v="2.9442148760330583E-3"/>
    <s v="Manque accessoires de pose"/>
    <s v="Déchargement EDMI-BRITCH + chargement 12B (mq feeders)"/>
    <x v="0"/>
    <s v="AYOUB/FARAH"/>
  </r>
  <r>
    <x v="1"/>
    <x v="2"/>
    <d v="2026-01-09T00:00:00"/>
    <x v="6"/>
    <s v="2026-M01"/>
    <x v="1"/>
    <s v="KNIDAR"/>
    <s v="MATIN"/>
    <s v="CMS"/>
    <s v="LIGNE2"/>
    <x v="3"/>
    <s v="EDMI"/>
    <s v="EDM830-013-152"/>
    <d v="1899-12-30T06:00:00"/>
    <d v="1899-12-30T12:00:00"/>
    <n v="6"/>
    <n v="3"/>
    <s v="3EDMIBERRECHID"/>
    <n v="4.6487603305785117E-3"/>
    <s v="Changement de série (Setup)"/>
    <s v="Basculement ES12B (Setup complet : DEK, feeders, buses...)"/>
    <x v="0"/>
    <s v="HOUSSAM"/>
  </r>
  <r>
    <x v="1"/>
    <x v="2"/>
    <d v="2026-01-09T00:00:00"/>
    <x v="6"/>
    <s v="2026-M01"/>
    <x v="1"/>
    <s v="KNIDAR"/>
    <s v="APM"/>
    <s v="CMS"/>
    <s v="LIGNE2"/>
    <x v="3"/>
    <s v="EDMI"/>
    <s v="EDM830-013-152"/>
    <d v="1899-12-30T14:00:00"/>
    <d v="1899-12-30T14:35:00"/>
    <n v="0.58333333333333126"/>
    <n v="3"/>
    <s v="3EDMIBERRECHID"/>
    <n v="4.519628099173537E-4"/>
    <s v="Changement de série (Setup)"/>
    <s v="Recherche + changement bobines (manque séquenceur)"/>
    <x v="0"/>
    <s v="ABDERRAHMANE"/>
  </r>
  <r>
    <x v="1"/>
    <x v="2"/>
    <d v="2026-01-10T00:00:00"/>
    <x v="6"/>
    <s v="2026-M01"/>
    <x v="1"/>
    <s v="KNIDAR"/>
    <s v="NIUT"/>
    <s v="CMS"/>
    <s v="LIGNE2"/>
    <x v="3"/>
    <s v="EDMI"/>
    <s v="EDM830-013-152"/>
    <d v="1899-12-30T22:00:00"/>
    <d v="1899-12-30T23:00:00"/>
    <n v="1.0000000000000018"/>
    <n v="3"/>
    <s v="3EDMIBERRECHID"/>
    <n v="7.7479338842975339E-4"/>
    <s v="Changement de série (Setup)"/>
    <s v="Recherche + changement bobines (manque séquenceur)"/>
    <x v="0"/>
    <s v="MEHDI"/>
  </r>
  <r>
    <x v="1"/>
    <x v="2"/>
    <d v="2026-01-10T00:00:00"/>
    <x v="6"/>
    <s v="2026-M01"/>
    <x v="1"/>
    <s v="KNIDAR"/>
    <s v="MATIN"/>
    <s v="CMS"/>
    <s v="LIGNE2"/>
    <x v="3"/>
    <s v="EDMI"/>
    <s v="EDM830-010-107BRTISH"/>
    <d v="1899-12-30T06:00:00"/>
    <d v="1899-12-30T12:00:00"/>
    <n v="6"/>
    <n v="3"/>
    <s v="3EDMIBERRECHID"/>
    <n v="4.6487603305785117E-3"/>
    <s v="Changement de série (Setup)"/>
    <s v="Basculement EDMI-BRTISH (Planification)"/>
    <x v="0"/>
    <s v="HOUSSAM"/>
  </r>
  <r>
    <x v="0"/>
    <x v="0"/>
    <d v="2026-01-09T00:00:00"/>
    <x v="6"/>
    <s v="2026-M01"/>
    <x v="1"/>
    <s v="DAHAB"/>
    <s v="NORMALE"/>
    <s v="TEST"/>
    <s v="test diélectrique_x000a_(T4676-01)"/>
    <x v="1"/>
    <s v="ABB"/>
    <n v="5012"/>
    <d v="1899-12-30T08:30:00"/>
    <d v="1899-12-30T17:10:12"/>
    <n v="8.67"/>
    <n v="1"/>
    <s v="1ABBTEMARA"/>
    <n v="1.5107772859408033E-2"/>
    <s v="Défaillance électrique banc de  test"/>
    <s v="Problème d'alimentation sur le banc de test diélectrique"/>
    <x v="1"/>
    <s v="ANAS/_x000a_NAWFEL"/>
  </r>
  <r>
    <x v="0"/>
    <x v="0"/>
    <d v="2026-01-09T00:00:00"/>
    <x v="6"/>
    <s v="2026-M01"/>
    <x v="1"/>
    <s v="DAHAB"/>
    <s v="NORMALE"/>
    <s v="TEST"/>
    <s v="Test fonctionnel_x000a_(T4675-01)"/>
    <x v="1"/>
    <s v="ABB"/>
    <n v="5012"/>
    <d v="1899-12-30T09:30:00"/>
    <d v="1899-12-30T15:30:00"/>
    <n v="6"/>
    <n v="1"/>
    <s v="1ABBTEMARA"/>
    <n v="1.0455206131078223E-2"/>
    <s v="Perte intégrité données test"/>
    <s v="Corruption du fichier source (** .seq**)"/>
    <x v="2"/>
    <s v="ANAS"/>
  </r>
  <r>
    <x v="1"/>
    <x v="1"/>
    <d v="2026-01-12T00:00:00"/>
    <x v="7"/>
    <s v="2026-M01"/>
    <x v="1"/>
    <s v="SALAH"/>
    <s v="NUIT"/>
    <s v="TESTEUR BFT"/>
    <s v="BFT"/>
    <x v="3"/>
    <s v="EDMI"/>
    <s v="EDM830-010-107BRTISH"/>
    <d v="1899-12-30T22:00:00"/>
    <d v="1899-12-30T22:30:00"/>
    <n v="0.50000000000000089"/>
    <n v="3"/>
    <s v="3EDMIBERRECHID"/>
    <n v="3.8739669421487669E-4"/>
    <s v="Défaut paramétrage logiciel"/>
    <s v="Erreur configuration"/>
    <x v="2"/>
    <s v="SAID"/>
  </r>
  <r>
    <x v="1"/>
    <x v="2"/>
    <d v="2026-01-12T00:00:00"/>
    <x v="7"/>
    <s v="2026-M01"/>
    <x v="1"/>
    <s v="KNIDAR"/>
    <s v="NUIT"/>
    <s v="CMS"/>
    <s v="LIGNE 2"/>
    <x v="3"/>
    <s v="EDMI"/>
    <s v="EDM830-010-107BRTISH"/>
    <d v="1899-12-30T22:00:00"/>
    <d v="1899-12-30T23:20:00"/>
    <n v="1.3333333333333339"/>
    <n v="3"/>
    <s v="3EDMIBERRECHID"/>
    <n v="1.0330578512396697E-3"/>
    <s v="Incident traçabilité système"/>
    <s v="Problème COGISCAN (étiquette non configurée) 1H20"/>
    <x v="2"/>
    <s v="ADAM"/>
  </r>
  <r>
    <x v="1"/>
    <x v="2"/>
    <d v="2026-01-12T00:00:00"/>
    <x v="7"/>
    <s v="2026-M01"/>
    <x v="1"/>
    <s v="KNIDAR"/>
    <s v="NUIT"/>
    <s v="CMS"/>
    <s v="LIGNE 2"/>
    <x v="3"/>
    <s v="EDMI"/>
    <s v="EDM830-010-107BRTISH"/>
    <d v="1899-12-30T23:15:00"/>
    <d v="1899-12-30T00:00:00"/>
    <n v="0.75"/>
    <n v="3"/>
    <s v="3EDMIBERRECHID"/>
    <n v="5.8109504132231396E-4"/>
    <s v="Délai technique externe"/>
    <s v="Retard de réglage mire écran sérigraphié (à distance)"/>
    <x v="5"/>
    <s v="KNIDAR"/>
  </r>
  <r>
    <x v="1"/>
    <x v="2"/>
    <d v="2026-01-12T00:00:00"/>
    <x v="7"/>
    <s v="2026-M01"/>
    <x v="1"/>
    <s v="KNIDAR"/>
    <s v="NUIT"/>
    <s v="CMS"/>
    <s v="LIGNE 2"/>
    <x v="3"/>
    <s v="EDMI"/>
    <s v="EDM830-010-107BRTISH"/>
    <d v="1899-12-30T00:00:00"/>
    <d v="1899-12-30T01:00:00"/>
    <n v="1"/>
    <n v="3"/>
    <s v="3EDMIBERRECHID"/>
    <n v="7.7479338842975198E-4"/>
    <s v="Lancement Nouvelle Réf (Validation)"/>
    <s v="Validation table + 1ère carte (Planification)"/>
    <x v="0"/>
    <s v="DRISS"/>
  </r>
  <r>
    <x v="1"/>
    <x v="2"/>
    <d v="2026-01-12T00:00:00"/>
    <x v="7"/>
    <s v="2026-M01"/>
    <x v="1"/>
    <s v="ISMAIL"/>
    <s v="MATIN "/>
    <s v="TEST TAKAYA"/>
    <s v="Takaya-9411"/>
    <x v="11"/>
    <s v="LE RESTE"/>
    <s v="SERRL5B"/>
    <d v="1899-12-30T09:55:00"/>
    <d v="1899-12-30T10:50:00"/>
    <n v="0.91666666666666741"/>
    <n v="2"/>
    <s v="2LE RESTEBERRECHID"/>
    <n v="3.5511363636363659E-4"/>
    <s v="Panne pièce d'usure banc"/>
    <s v="Relay probe 3"/>
    <x v="1"/>
    <s v="SLIMANE"/>
  </r>
  <r>
    <x v="0"/>
    <x v="0"/>
    <d v="2026-01-12T00:00:00"/>
    <x v="7"/>
    <s v="2026-M01"/>
    <x v="1"/>
    <s v="DAHAB"/>
    <s v="NORMALE"/>
    <s v="TEST"/>
    <s v="Test fonctionnel_x000a_(T4675-01)"/>
    <x v="1"/>
    <s v="ABB"/>
    <n v="5012"/>
    <d v="1899-12-30T08:30:00"/>
    <d v="1899-12-30T17:19:48"/>
    <n v="8.83"/>
    <n v="1"/>
    <s v="1ABBTEMARA"/>
    <n v="1.5386578356236786E-2"/>
    <s v="Perte intégrité données test"/>
    <s v="Corruption du fichier source (** .seq**)"/>
    <x v="2"/>
    <s v="ANAS"/>
  </r>
  <r>
    <x v="0"/>
    <x v="0"/>
    <d v="2026-01-12T00:00:00"/>
    <x v="7"/>
    <s v="2026-M01"/>
    <x v="1"/>
    <s v="DAHAB"/>
    <s v="NORMALE"/>
    <s v="FERMETURE ULTRASON"/>
    <s v="T4662-01"/>
    <x v="1"/>
    <s v="ABB"/>
    <n v="5012"/>
    <d v="1899-12-30T12:00:00"/>
    <d v="1899-12-30T12:20:00"/>
    <n v="0.33333333333334281"/>
    <n v="1"/>
    <s v="1ABBTEMARA"/>
    <n v="5.8084478505991786E-4"/>
    <s v="Défaut traitement surface"/>
    <s v="Problème du plaquage"/>
    <x v="1"/>
    <s v="NAOUFEL"/>
  </r>
  <r>
    <x v="0"/>
    <x v="0"/>
    <d v="2026-01-13T00:00:00"/>
    <x v="7"/>
    <s v="2026-M01"/>
    <x v="1"/>
    <s v="DAHAB"/>
    <s v="NORMALE"/>
    <s v="TEST"/>
    <s v="Test fonctionnel_x000a_(T4675-01)"/>
    <x v="1"/>
    <s v="ABB"/>
    <n v="5012"/>
    <d v="1899-12-30T08:30:00"/>
    <d v="1899-12-30T17:19:48"/>
    <n v="8.83"/>
    <n v="1"/>
    <s v="1ABBTEMARA"/>
    <n v="1.5386578356236786E-2"/>
    <s v="Perte intégrité données test"/>
    <s v="Corruption du fichier source (** .seq**)"/>
    <x v="2"/>
    <s v="ANAS"/>
  </r>
  <r>
    <x v="0"/>
    <x v="0"/>
    <d v="2026-01-13T00:00:00"/>
    <x v="7"/>
    <s v="2026-M01"/>
    <x v="1"/>
    <s v="DAHAB"/>
    <s v="NORMALE"/>
    <s v="TOMPGRAPHIE"/>
    <s v="Tompgraphie"/>
    <x v="1"/>
    <s v="ABB"/>
    <n v="5001"/>
    <d v="1899-12-30T09:30:00"/>
    <d v="1899-12-30T17:19:48"/>
    <n v="7.83"/>
    <n v="1"/>
    <s v="1ABBTEMARA"/>
    <n v="1.3644044001057083E-2"/>
    <s v="Réparation curative"/>
    <s v="Montage des piéces de rechange par la maintenance"/>
    <x v="1"/>
    <s v="NAWFEL/SAID"/>
  </r>
  <r>
    <x v="0"/>
    <x v="0"/>
    <d v="2026-01-14T00:00:00"/>
    <x v="7"/>
    <s v="2026-M01"/>
    <x v="1"/>
    <s v="DAHAB"/>
    <s v="NORMALE"/>
    <s v="TOMPGRAPHIE"/>
    <s v="Tompgraphie"/>
    <x v="1"/>
    <s v="ABB"/>
    <n v="5001"/>
    <d v="1899-12-30T08:30:00"/>
    <d v="1899-12-30T10:30:00"/>
    <n v="1.9999999999999996"/>
    <n v="1"/>
    <s v="1ABBTEMARA"/>
    <n v="3.4850687103594076E-3"/>
    <s v="Incident remise en service"/>
    <s v="Démarrage machine tampo après réparation (fuites)"/>
    <x v="1"/>
    <s v="DAHAB"/>
  </r>
  <r>
    <x v="0"/>
    <x v="0"/>
    <d v="2026-01-14T00:00:00"/>
    <x v="7"/>
    <s v="2026-M01"/>
    <x v="1"/>
    <s v="DAHAB"/>
    <s v="NORMALE"/>
    <s v="TEST"/>
    <s v="Test fonctionnel_x000a_(T4675-01)"/>
    <x v="1"/>
    <s v="ABB"/>
    <n v="5012"/>
    <d v="1899-12-30T08:30:00"/>
    <d v="1899-12-30T17:19:48"/>
    <n v="8.83"/>
    <n v="1"/>
    <s v="1ABBTEMARA"/>
    <n v="1.5386578356236786E-2"/>
    <s v="Perte intégrité données test"/>
    <s v="Corruption du fichier source (** .seq**)"/>
    <x v="2"/>
    <s v="ANAS"/>
  </r>
  <r>
    <x v="1"/>
    <x v="2"/>
    <d v="2026-01-13T00:00:00"/>
    <x v="7"/>
    <s v="2026-M01"/>
    <x v="1"/>
    <s v="ISMAIL"/>
    <s v="APM"/>
    <s v="TEST FONCTIONNEL"/>
    <s v="Test Fonctionnel Carte ENS2005345"/>
    <x v="12"/>
    <s v="LE RESTE"/>
    <s v="ENS2005345"/>
    <d v="1899-12-30T14:00:00"/>
    <d v="1899-12-30T22:00:00"/>
    <n v="7.9999999999999982"/>
    <n v="2"/>
    <s v="2LE RESTEBERRECHID"/>
    <n v="3.0991735537190075E-3"/>
    <s v="Instabilité équipement contrôle"/>
    <s v="Détéction du Faux défaut G4*T4 (Impact OTD)"/>
    <x v="1"/>
    <s v="SLIMANE + YOUNES"/>
  </r>
  <r>
    <x v="1"/>
    <x v="1"/>
    <d v="2026-01-14T00:00:00"/>
    <x v="7"/>
    <s v="2026-M01"/>
    <x v="1"/>
    <s v="OUMAIMA"/>
    <s v="MATIN "/>
    <s v="TEST CONFIG"/>
    <s v="Test Config"/>
    <x v="3"/>
    <s v="EDMI"/>
    <s v="EDMES012BAR00"/>
    <d v="1899-12-30T12:00:00"/>
    <d v="1899-12-30T13:39:00"/>
    <n v="1.6499999999999995"/>
    <n v="3"/>
    <s v="3EDMIBERRECHID"/>
    <n v="1.2784090909090903E-3"/>
    <s v="Lancement Nouvelle Réf (Validation)"/>
    <s v="Attente validation sampling (Manques et Nvx démarrage)"/>
    <x v="2"/>
    <s v="PRODUCTION"/>
  </r>
  <r>
    <x v="1"/>
    <x v="2"/>
    <d v="2026-01-12T00:00:00"/>
    <x v="7"/>
    <s v="2026-M01"/>
    <x v="1"/>
    <s v="KNIDAR"/>
    <s v="MATIN"/>
    <s v="CMS"/>
    <s v="LIGNE 2"/>
    <x v="3"/>
    <s v="EDMI"/>
    <s v="EDM830-010-107BRTISH"/>
    <d v="1899-12-30T08:54:00"/>
    <d v="1899-12-30T09:19:00"/>
    <n v="0.41666666666666652"/>
    <n v="3"/>
    <s v="3EDMIBERRECHID"/>
    <n v="3.2283057851239654E-4"/>
    <s v="icident mecanique machine"/>
    <s v="blocage du magasin (pb pneumatique)"/>
    <x v="1"/>
    <s v="Batar"/>
  </r>
  <r>
    <x v="1"/>
    <x v="2"/>
    <d v="2026-01-15T00:00:00"/>
    <x v="7"/>
    <s v="2026-M01"/>
    <x v="1"/>
    <s v="KNIDAR"/>
    <s v="NUIT"/>
    <s v="CMS"/>
    <s v="LIGNE 2"/>
    <x v="3"/>
    <s v="EDMI"/>
    <s v="EDM830-010-107BRTISH"/>
    <d v="1899-12-30T00:50:00"/>
    <d v="1899-12-30T06:00:00"/>
    <n v="5.166666666666667"/>
    <n v="3"/>
    <s v="3EDMIBERRECHID"/>
    <n v="4.0030991735537187E-3"/>
    <s v="Rupture approvisionnement"/>
    <s v="Manque officiel composant résistance EDM180-00597"/>
    <x v="0"/>
    <s v="BOUDRA"/>
  </r>
  <r>
    <x v="0"/>
    <x v="0"/>
    <d v="2026-01-15T00:00:00"/>
    <x v="7"/>
    <s v="2026-M01"/>
    <x v="1"/>
    <s v="DAHAB"/>
    <s v="NORMALE"/>
    <s v="TEST"/>
    <s v="Test fonctionnel_x000a_(T4675-01)"/>
    <x v="1"/>
    <s v="ABB"/>
    <n v="5012"/>
    <d v="1899-12-30T08:30:00"/>
    <d v="1899-12-30T18:00:00"/>
    <n v="9.5000000000000142"/>
    <n v="1"/>
    <s v="1ABBTEMARA"/>
    <n v="1.6554076374207211E-2"/>
    <s v="Perte intégrité données test"/>
    <s v="Corruption du fichier source (** .seq**)"/>
    <x v="2"/>
    <s v="ANAS"/>
  </r>
  <r>
    <x v="1"/>
    <x v="2"/>
    <d v="2026-01-15T00:00:00"/>
    <x v="7"/>
    <s v="2026-M01"/>
    <x v="1"/>
    <s v="ISMAIL"/>
    <s v="APM"/>
    <s v="TEST TAKAYA"/>
    <s v="Takaya-9411"/>
    <x v="13"/>
    <s v="LE RESTE"/>
    <s v="DISXCRT0211"/>
    <d v="1899-12-30T15:30:00"/>
    <d v="1899-12-30T16:30:00"/>
    <n v="0.99999999999999911"/>
    <n v="2"/>
    <s v="2LE RESTEBERRECHID"/>
    <n v="3.8739669421487566E-4"/>
    <s v="Aménagement poste travail"/>
    <s v="Déplacement de la machine pour la pose de résine ESD"/>
    <x v="1"/>
    <s v="BATAR"/>
  </r>
  <r>
    <x v="1"/>
    <x v="2"/>
    <d v="2026-01-15T00:00:00"/>
    <x v="7"/>
    <s v="2026-M01"/>
    <x v="1"/>
    <s v="ISMAIL"/>
    <s v="APM"/>
    <s v="TEST TAKAYA"/>
    <s v="Takaya-9411"/>
    <x v="13"/>
    <s v="LE RESTE"/>
    <s v="DISXCRT0211"/>
    <d v="1899-12-30T15:30:00"/>
    <d v="1899-12-30T16:30:00"/>
    <n v="0.99999999999999911"/>
    <n v="2"/>
    <s v="2LE RESTEBERRECHID"/>
    <n v="3.8739669421487566E-4"/>
    <s v="Erreur manipulation logiciel"/>
    <s v="Ecrasement du programme de test"/>
    <x v="2"/>
    <s v="ILHAM "/>
  </r>
  <r>
    <x v="1"/>
    <x v="2"/>
    <d v="2026-01-15T00:00:00"/>
    <x v="7"/>
    <s v="2026-M01"/>
    <x v="1"/>
    <s v="ISMAIL"/>
    <s v="APM"/>
    <s v="TEST FONCTIONNEL "/>
    <s v="Test Fonctionnel _x000a_Carte SERRL5B"/>
    <x v="7"/>
    <s v="LE RESTE"/>
    <s v="SERRL5B"/>
    <d v="1899-12-30T15:30:00"/>
    <d v="1899-12-30T22:00:00"/>
    <n v="6.4999999999999982"/>
    <n v="2"/>
    <s v="2LE RESTEBERRECHID"/>
    <n v="2.5180785123966932E-3"/>
    <s v="Anomalie fonctionnelle produit"/>
    <s v="Défaut Led 3 reste Allumée (Risque S06)"/>
    <x v="1"/>
    <s v="SLIMANE"/>
  </r>
  <r>
    <x v="0"/>
    <x v="0"/>
    <d v="2026-01-16T00:00:00"/>
    <x v="7"/>
    <s v="2026-M01"/>
    <x v="1"/>
    <s v="BADIA"/>
    <s v="NORMALE"/>
    <s v="CABLAGE"/>
    <s v="INTEGRATION"/>
    <x v="10"/>
    <s v="SOLUSCOPE"/>
    <s v="Coffret  S4"/>
    <d v="1899-12-30T08:30:00"/>
    <d v="1899-12-30T12:00:00"/>
    <n v="3.5000000000000142"/>
    <n v="1"/>
    <s v="1SOLUSCOPETEMARA"/>
    <n v="6.7006114261003544E-4"/>
    <s v="Rupture approvisionnement"/>
    <s v="Manquant officiel du composant SOLCAB2130056"/>
    <x v="0"/>
    <s v="BADIA"/>
  </r>
  <r>
    <x v="0"/>
    <x v="0"/>
    <d v="2026-01-16T00:00:00"/>
    <x v="7"/>
    <s v="2026-M01"/>
    <x v="1"/>
    <s v="DAHAB"/>
    <s v="NORMALE"/>
    <s v="TEST"/>
    <s v="Test fonctionnel_x000a_(T4675-01)"/>
    <x v="1"/>
    <s v="ABB"/>
    <n v="5012"/>
    <d v="1899-12-30T08:30:00"/>
    <d v="1899-12-30T18:00:00"/>
    <n v="9.5000000000000142"/>
    <n v="1"/>
    <s v="1ABBTEMARA"/>
    <n v="1.6554076374207211E-2"/>
    <s v="Perte intégrité données test"/>
    <s v="Corruption du fichier source (** .seq**)"/>
    <x v="2"/>
    <s v="ANAS"/>
  </r>
  <r>
    <x v="1"/>
    <x v="1"/>
    <d v="2026-01-19T00:00:00"/>
    <x v="8"/>
    <s v="2026-M01"/>
    <x v="1"/>
    <s v="TARIK"/>
    <s v="MATIN"/>
    <s v="INTEGRATION"/>
    <s v="Integration"/>
    <x v="3"/>
    <s v="EDMI"/>
    <s v="EDMES012BAD-02"/>
    <d v="1899-12-30T06:00:00"/>
    <d v="1899-12-30T07:30:00"/>
    <n v="1.5"/>
    <n v="3"/>
    <s v="3EDMIBERRECHID"/>
    <n v="1.1621900826446279E-3"/>
    <s v="Coupure infrastructure réseau"/>
    <s v="Problème réseau bâtiment B (Arrêt total)"/>
    <x v="3"/>
    <s v="OTHMANE"/>
  </r>
  <r>
    <x v="1"/>
    <x v="2"/>
    <d v="2026-01-19T00:00:00"/>
    <x v="8"/>
    <s v="2026-M01"/>
    <x v="1"/>
    <s v="ISMAIL"/>
    <s v="MATIN"/>
    <s v="TEST FONCTIONNEL "/>
    <s v="Test Fonctionnel _x000a_Carte SERRL5B"/>
    <x v="7"/>
    <s v="LE RESTE"/>
    <s v="SERRL5B"/>
    <d v="1899-12-30T06:00:00"/>
    <d v="1899-12-30T09:00:00"/>
    <n v="3"/>
    <n v="2"/>
    <s v="2LE RESTEBERRECHID"/>
    <n v="1.1621900826446279E-3"/>
    <s v="Anomalie fonctionnelle produit"/>
    <s v="Défaut Led 3 reste Allumée (Risque S06)"/>
    <x v="1"/>
    <s v="SLIMANE"/>
  </r>
  <r>
    <x v="0"/>
    <x v="0"/>
    <d v="2026-01-19T00:00:00"/>
    <x v="8"/>
    <s v="2026-M01"/>
    <x v="1"/>
    <s v="DAHAB"/>
    <s v="NORMALE"/>
    <s v="TEST"/>
    <s v="Test fonctionnel_x000a_(T4675-01)"/>
    <x v="1"/>
    <s v="ABB"/>
    <n v="5012"/>
    <d v="1899-12-30T08:30:00"/>
    <d v="1899-12-30T18:00:00"/>
    <n v="9.5000000000000142"/>
    <n v="1"/>
    <s v="1ABBTEMARA"/>
    <n v="1.6554076374207211E-2"/>
    <s v="Perte intégrité données test"/>
    <s v="Corruption du fichier source (** .seq**)"/>
    <x v="2"/>
    <s v="ANAS"/>
  </r>
  <r>
    <x v="0"/>
    <x v="0"/>
    <d v="2026-01-20T00:00:00"/>
    <x v="8"/>
    <s v="2026-M01"/>
    <x v="1"/>
    <s v="DAHAB"/>
    <s v="NORMALE"/>
    <s v="TEST"/>
    <s v="Test fonctionnel_x000a_(T4675-01)"/>
    <x v="1"/>
    <s v="ABB"/>
    <n v="5012"/>
    <d v="1899-12-30T08:30:00"/>
    <d v="1899-12-30T18:00:00"/>
    <n v="9.5000000000000142"/>
    <n v="1"/>
    <s v="1ABBTEMARA"/>
    <n v="1.6554076374207211E-2"/>
    <s v="Perte intégrité données test"/>
    <s v="Corruption du fichier source (** .seq**)"/>
    <x v="2"/>
    <s v="ANAS"/>
  </r>
  <r>
    <x v="0"/>
    <x v="0"/>
    <d v="2026-01-20T00:00:00"/>
    <x v="8"/>
    <s v="2026-M01"/>
    <x v="1"/>
    <s v="DAHAB"/>
    <s v="NORMALE"/>
    <s v="FERMETURE"/>
    <s v="Fermeture"/>
    <x v="1"/>
    <s v="ABB"/>
    <s v="NA"/>
    <d v="1899-12-30T13:20:00"/>
    <d v="1899-12-30T18:00:00"/>
    <n v="4.6666666666666714"/>
    <n v="1"/>
    <s v="1ABBTEMARA"/>
    <n v="8.1318269908386264E-3"/>
    <s v="Audit client / Standard 5S"/>
    <s v="Visite ABB - Rangement 5S"/>
    <x v="6"/>
    <s v="DAHAB"/>
  </r>
  <r>
    <x v="0"/>
    <x v="0"/>
    <d v="2026-01-20T00:00:00"/>
    <x v="8"/>
    <s v="2026-M01"/>
    <x v="1"/>
    <s v="DAHAB"/>
    <s v="NORMALE"/>
    <s v="TOMPGRAPHIE"/>
    <s v="Tompgraphie"/>
    <x v="1"/>
    <s v="ABB"/>
    <s v="NA"/>
    <d v="1899-12-30T13:20:00"/>
    <d v="1899-12-30T18:00:00"/>
    <n v="4.6666666666666714"/>
    <n v="1"/>
    <s v="1ABBTEMARA"/>
    <n v="8.1318269908386264E-3"/>
    <s v="Audit client / Standard 5S"/>
    <s v="Visite ABB - Rangement 5S"/>
    <x v="6"/>
    <s v="DAHAB"/>
  </r>
  <r>
    <x v="0"/>
    <x v="0"/>
    <d v="2026-01-20T00:00:00"/>
    <x v="8"/>
    <s v="2026-M01"/>
    <x v="1"/>
    <s v="DAHAB"/>
    <s v="NORMALE"/>
    <s v="BRASAGE"/>
    <s v="Brasage"/>
    <x v="1"/>
    <s v="ABB"/>
    <s v="NA"/>
    <d v="1899-12-30T13:20:00"/>
    <d v="1899-12-30T18:00:00"/>
    <n v="4.6666666666666714"/>
    <n v="1"/>
    <s v="1ABBTEMARA"/>
    <n v="8.1318269908386264E-3"/>
    <s v="Audit client / Standard 5S"/>
    <s v="Visite ABB - Rangement 5S"/>
    <x v="6"/>
    <s v="DAHAB"/>
  </r>
  <r>
    <x v="0"/>
    <x v="0"/>
    <d v="2026-01-20T00:00:00"/>
    <x v="8"/>
    <s v="2026-M01"/>
    <x v="1"/>
    <s v="DAHAB"/>
    <s v="NORMALE"/>
    <s v="TEST"/>
    <s v="Test"/>
    <x v="1"/>
    <s v="ABB"/>
    <s v="NA"/>
    <d v="1899-12-30T13:20:00"/>
    <d v="1899-12-30T18:00:00"/>
    <n v="4.6666666666666714"/>
    <n v="1"/>
    <s v="1ABBTEMARA"/>
    <n v="8.1318269908386264E-3"/>
    <s v="Audit client / Standard 5S"/>
    <s v="Visite ABB - Rangement 5S"/>
    <x v="6"/>
    <s v="DAHAB"/>
  </r>
  <r>
    <x v="0"/>
    <x v="0"/>
    <d v="2026-01-21T00:00:00"/>
    <x v="8"/>
    <s v="2026-M01"/>
    <x v="1"/>
    <s v="DAHAB"/>
    <s v="NORMALE"/>
    <s v="FERMETURE"/>
    <s v="Fermeture"/>
    <x v="1"/>
    <s v="ABB"/>
    <s v="NA"/>
    <d v="1899-12-30T08:30:00"/>
    <d v="1899-12-30T13:20:00"/>
    <n v="4.8333333333333428"/>
    <n v="1"/>
    <s v="1ABBTEMARA"/>
    <n v="8.4222493833685866E-3"/>
    <s v="Adaptation mode opératoire"/>
    <s v="Visite ABB - Baisse cadence suite changement process"/>
    <x v="6"/>
    <s v="DAHAB"/>
  </r>
  <r>
    <x v="0"/>
    <x v="0"/>
    <d v="2026-01-21T00:00:00"/>
    <x v="8"/>
    <s v="2026-M01"/>
    <x v="1"/>
    <s v="DAHAB"/>
    <s v="NORMALE"/>
    <s v="TOMPGRAPHIE"/>
    <s v="Tompgraphie"/>
    <x v="1"/>
    <s v="ABB"/>
    <s v="NA"/>
    <d v="1899-12-30T08:30:00"/>
    <d v="1899-12-30T13:20:00"/>
    <n v="4.8333333333333428"/>
    <n v="1"/>
    <s v="1ABBTEMARA"/>
    <n v="8.4222493833685866E-3"/>
    <s v="Adaptation mode opératoire"/>
    <s v="Visite ABB - Baisse cadence suite changement process"/>
    <x v="6"/>
    <s v="DAHAB"/>
  </r>
  <r>
    <x v="0"/>
    <x v="0"/>
    <d v="2026-01-21T00:00:00"/>
    <x v="8"/>
    <s v="2026-M01"/>
    <x v="1"/>
    <s v="DAHAB"/>
    <s v="NORMALE"/>
    <s v="BRASAGE"/>
    <s v="Brasage"/>
    <x v="1"/>
    <s v="ABB"/>
    <s v="NA"/>
    <d v="1899-12-30T08:30:00"/>
    <d v="1899-12-30T13:20:00"/>
    <n v="4.8333333333333428"/>
    <n v="1"/>
    <s v="1ABBTEMARA"/>
    <n v="8.4222493833685866E-3"/>
    <s v="Adaptation mode opératoire"/>
    <s v="Visite ABB - Baisse cadence suite changement process"/>
    <x v="6"/>
    <s v="DAHAB"/>
  </r>
  <r>
    <x v="1"/>
    <x v="2"/>
    <d v="2026-01-21T00:00:00"/>
    <x v="8"/>
    <s v="2026-M01"/>
    <x v="1"/>
    <s v="LATIFA"/>
    <s v="NORMALE"/>
    <s v="EMS"/>
    <s v="Etamage"/>
    <x v="4"/>
    <s v="EMS"/>
    <s v="EMSEL-628"/>
    <d v="1899-12-30T07:30:00"/>
    <d v="1899-12-30T10:30:00"/>
    <n v="3"/>
    <n v="2"/>
    <s v="2EMSBERRECHID"/>
    <n v="5.5785123966942162E-4"/>
    <s v="Défaut coordination matériel"/>
    <s v="Envoi bain étamage à Temara pour préparer Visite ABB  sans avertir (Mq backup)"/>
    <x v="6"/>
    <s v="MOJAHID"/>
  </r>
  <r>
    <x v="1"/>
    <x v="2"/>
    <d v="2026-01-21T00:00:00"/>
    <x v="8"/>
    <s v="2026-M01"/>
    <x v="1"/>
    <s v="ELMIR"/>
    <s v="MATIN"/>
    <s v="TRAVERSANT"/>
    <s v="vague"/>
    <x v="3"/>
    <s v="EDMI"/>
    <s v="EDM830-010-107BRTISH"/>
    <d v="1899-12-30T08:20:00"/>
    <d v="1899-12-30T14:00:00"/>
    <n v="5.6666666666666679"/>
    <n v="3"/>
    <s v="3EDMIBERRECHID"/>
    <n v="4.390495867768596E-3"/>
    <s v="Rupture approvisionnement"/>
    <s v="Manque officiel résistance EDM180-00597 (Mq cartes)"/>
    <x v="0"/>
    <s v="BOUDRA"/>
  </r>
  <r>
    <x v="1"/>
    <x v="2"/>
    <d v="2026-01-22T00:00:00"/>
    <x v="8"/>
    <s v="2026-M01"/>
    <x v="1"/>
    <s v="KNIDAR"/>
    <s v="APM"/>
    <s v="CMS"/>
    <s v="LIGNE 2"/>
    <x v="3"/>
    <s v="EDMI"/>
    <s v="EDM830-010-107BRTISH"/>
    <d v="1899-12-30T14:00:00"/>
    <d v="1899-12-30T18:45:00"/>
    <n v="4.7499999999999991"/>
    <n v="3"/>
    <s v="3EDMIBERRECHID"/>
    <n v="3.6802685950413209E-3"/>
    <s v="Changement de série (Setup)"/>
    <s v="Basculement ES10B (Pb Planification feeders)"/>
    <x v="0"/>
    <s v="HOUSSAM"/>
  </r>
  <r>
    <x v="1"/>
    <x v="1"/>
    <d v="2026-01-22T00:00:00"/>
    <x v="8"/>
    <s v="2026-M01"/>
    <x v="1"/>
    <s v="TARIK"/>
    <s v="MATIN"/>
    <s v="EMBALLAGE"/>
    <s v="Emballage"/>
    <x v="3"/>
    <s v="EDMI"/>
    <s v="EDMES010BAU10"/>
    <d v="1899-12-30T13:00:00"/>
    <d v="1899-12-30T14:00:00"/>
    <n v="1.0000000000000018"/>
    <n v="3"/>
    <s v="3EDMIBERRECHID"/>
    <n v="7.7479338842975339E-4"/>
    <s v="Maintenance informatique"/>
    <s v="Intervention sur le réseau"/>
    <x v="3"/>
    <s v="RAFIQ"/>
  </r>
  <r>
    <x v="1"/>
    <x v="1"/>
    <d v="2026-01-22T00:00:00"/>
    <x v="8"/>
    <s v="2026-M01"/>
    <x v="1"/>
    <s v="SALAH"/>
    <s v="APM"/>
    <s v="INTEGRATION"/>
    <s v="Bat B"/>
    <x v="3"/>
    <s v="EDMI"/>
    <s v="EDM830-010-107BRTISH"/>
    <d v="1899-12-30T14:00:00"/>
    <d v="1899-12-30T15:00:00"/>
    <n v="0.99999999999999911"/>
    <n v="3"/>
    <s v="3EDMIBERRECHID"/>
    <n v="7.7479338842975133E-4"/>
    <s v="Coupure infrastructure réseau"/>
    <s v="Coupure réseau"/>
    <x v="3"/>
    <s v="RAFIQ"/>
  </r>
  <r>
    <x v="1"/>
    <x v="2"/>
    <d v="2026-01-22T00:00:00"/>
    <x v="8"/>
    <s v="2026-M01"/>
    <x v="1"/>
    <s v="KNIDAR"/>
    <s v="APM"/>
    <s v="CMS"/>
    <s v="LIGNE 2"/>
    <x v="3"/>
    <s v="EDMI"/>
    <s v="EDM830-010-107BRTISH"/>
    <d v="1899-12-30T14:00:00"/>
    <d v="1899-12-30T15:00:00"/>
    <n v="0.99999999999999911"/>
    <n v="3"/>
    <s v="3EDMIBERRECHID"/>
    <n v="7.7479338842975133E-4"/>
    <s v="Maintenance informatique"/>
    <s v="Problème communication (intervention réseau)"/>
    <x v="3"/>
    <s v="RAFIQ"/>
  </r>
  <r>
    <x v="1"/>
    <x v="2"/>
    <d v="2026-01-22T00:00:00"/>
    <x v="8"/>
    <s v="2026-M01"/>
    <x v="1"/>
    <s v="KNIDAR"/>
    <s v="APM"/>
    <s v="CMS"/>
    <s v="LIGNE 2"/>
    <x v="3"/>
    <s v="EDMI"/>
    <s v="EDM830-010-107BRTISH"/>
    <d v="1899-12-30T15:30:00"/>
    <d v="1899-12-30T16:30:00"/>
    <n v="0.99999999999999911"/>
    <n v="3"/>
    <s v="3EDMIBERRECHID"/>
    <n v="7.7479338842975133E-4"/>
    <s v="Alimentation Bobines à la CMS"/>
    <s v="Changement conditionnement bobine/tube (EDMI25-00028)"/>
    <x v="7"/>
    <s v="ZOHRA"/>
  </r>
  <r>
    <x v="1"/>
    <x v="2"/>
    <d v="2026-01-23T00:00:00"/>
    <x v="8"/>
    <s v="2026-M01"/>
    <x v="1"/>
    <s v="KNIDAR"/>
    <s v="NUIT "/>
    <s v="CMS"/>
    <s v="LIGNE 2"/>
    <x v="3"/>
    <s v="EDMI"/>
    <s v="EDM830-010-107BRTISH"/>
    <d v="1899-12-30T22:00:00"/>
    <d v="1899-12-30T23:55:00"/>
    <n v="1.9166666666666679"/>
    <n v="3"/>
    <s v="3EDMIBERRECHID"/>
    <n v="1.4850206611570255E-3"/>
    <s v="Nettoyage / Entretien préventif"/>
    <s v="Problème buses skippées (nettoyage + feeders)"/>
    <x v="1"/>
    <s v="KNIDAR"/>
  </r>
  <r>
    <x v="0"/>
    <x v="0"/>
    <d v="2026-01-23T00:00:00"/>
    <x v="8"/>
    <s v="2026-M01"/>
    <x v="1"/>
    <s v="BADIA"/>
    <s v="NORMALE"/>
    <s v="CABLAGE"/>
    <s v="INTEGRATION"/>
    <x v="10"/>
    <s v="SOLUSCOPE"/>
    <s v="Coffret  S4"/>
    <d v="1899-12-30T08:30:00"/>
    <d v="1899-12-30T13:00:00"/>
    <n v="4.5"/>
    <n v="1"/>
    <s v="1SOLUSCOPETEMARA"/>
    <n v="8.6150718335575643E-4"/>
    <s v="Rupture approvisionnement"/>
    <s v="Manquant officiel du composant SOLCAB2130056"/>
    <x v="0"/>
    <s v="BOUDRA"/>
  </r>
  <r>
    <x v="1"/>
    <x v="2"/>
    <d v="2026-01-23T00:00:00"/>
    <x v="8"/>
    <s v="2026-M01"/>
    <x v="1"/>
    <s v="KNIDAR"/>
    <s v="NUIT"/>
    <s v="CMS"/>
    <s v="LIGNE 2"/>
    <x v="3"/>
    <s v="EDMI"/>
    <s v="EDM830-010-107BRTISH"/>
    <d v="1899-12-30T23:10:00"/>
    <d v="1899-12-30T23:40:00"/>
    <n v="0.50000000000000089"/>
    <n v="3"/>
    <s v="3EDMIBERRECHID"/>
    <n v="3.8739669421487669E-4"/>
    <s v="Conflit système / Format"/>
    <s v="Pb scan code EDM185-00006 suite modification"/>
    <x v="2"/>
    <s v="ZOHRA+KNIDAR"/>
  </r>
  <r>
    <x v="1"/>
    <x v="2"/>
    <d v="2026-01-23T00:00:00"/>
    <x v="8"/>
    <s v="2026-M01"/>
    <x v="1"/>
    <s v="ISMAIL"/>
    <s v="APM"/>
    <s v="TEST FONCTIONNEL "/>
    <s v="Test Fonctionnel _x000a_Carte SERRL5B"/>
    <x v="7"/>
    <s v="LE RESTE"/>
    <s v="SERRL5B"/>
    <d v="1899-12-30T17:00:00"/>
    <d v="1899-12-30T22:00:00"/>
    <n v="4.9999999999999982"/>
    <n v="2"/>
    <s v="2LE RESTEBERRECHID"/>
    <n v="1.9369834710743794E-3"/>
    <s v="Anomalie fonctionnelle produit"/>
    <s v="Défaut Led 3 reste Allumée (Risque S06)"/>
    <x v="1"/>
    <s v="SLIMANE"/>
  </r>
  <r>
    <x v="1"/>
    <x v="2"/>
    <d v="2026-01-24T00:00:00"/>
    <x v="8"/>
    <s v="2026-M01"/>
    <x v="1"/>
    <s v="ISMAIL"/>
    <s v="MATIN"/>
    <s v="TEST FONCTIONNEL "/>
    <s v="Test Fonctionnel _x000a_Carte SERRL5B"/>
    <x v="7"/>
    <s v="LE RESTE"/>
    <s v="SERRL5B"/>
    <d v="1899-12-30T06:00:00"/>
    <d v="1899-12-30T07:00:00"/>
    <n v="1.0000000000000004"/>
    <n v="2"/>
    <s v="2LE RESTEBERRECHID"/>
    <n v="3.8739669421487615E-4"/>
    <s v="Anomalie fonctionnelle produit"/>
    <s v="Défaut Led 3 reste Allumée (Risque S06)"/>
    <x v="1"/>
    <s v="SLIMANE"/>
  </r>
  <r>
    <x v="1"/>
    <x v="2"/>
    <d v="2026-01-24T00:00:00"/>
    <x v="8"/>
    <s v="2026-M01"/>
    <x v="1"/>
    <s v="ISMAIL"/>
    <s v="MATIN"/>
    <s v="TEST FONCTIONNEL "/>
    <s v="Test Fonctionnel _x000a_Carte SERRL5B"/>
    <x v="7"/>
    <s v="LE RESTE"/>
    <s v="SERRL5B"/>
    <d v="1899-12-30T11:00:00"/>
    <d v="1899-12-30T12:00:00"/>
    <n v="1.0000000000000004"/>
    <n v="2"/>
    <s v="2LE RESTEBERRECHID"/>
    <n v="3.8739669421487615E-4"/>
    <s v="Anomalie fonctionnelle produit"/>
    <s v="Défaut Led 3 reste Allumée (Risque S06)"/>
    <x v="1"/>
    <s v="SLIMANE"/>
  </r>
  <r>
    <x v="1"/>
    <x v="2"/>
    <d v="2026-01-24T00:00:00"/>
    <x v="8"/>
    <s v="2026-M01"/>
    <x v="1"/>
    <s v="ISMAIL"/>
    <s v="MATIN"/>
    <s v="TEST FONCTIONNEL "/>
    <s v="Test Fonctionnel _x000a_Carte SERRL5B"/>
    <x v="7"/>
    <s v="LE RESTE"/>
    <s v="SERRL5B"/>
    <d v="1899-12-30T13:00:00"/>
    <d v="1899-12-30T14:00:00"/>
    <n v="1.0000000000000018"/>
    <n v="2"/>
    <s v="2LE RESTEBERRECHID"/>
    <n v="3.8739669421487669E-4"/>
    <s v="Anomalie fonctionnelle produit"/>
    <s v="Défaut Led 3 reste Allumée (Risque S06)"/>
    <x v="1"/>
    <s v="SLIMANE"/>
  </r>
  <r>
    <x v="1"/>
    <x v="2"/>
    <d v="2026-01-26T00:00:00"/>
    <x v="9"/>
    <s v="2026-M01"/>
    <x v="1"/>
    <s v="ISMAIL"/>
    <s v="MATIN"/>
    <s v="TEST TAKAYA"/>
    <s v="Takaya-9411"/>
    <x v="4"/>
    <s v="EMS"/>
    <s v="ZEPEJ-156A/A"/>
    <d v="1899-12-30T06:00:00"/>
    <d v="1899-12-30T07:40:00"/>
    <n v="1.6666666666666661"/>
    <n v="2"/>
    <s v="2EMSBERRECHID"/>
    <n v="3.0991735537190079E-4"/>
    <s v="Arrêt énergie général"/>
    <s v="Coupure d'électricté"/>
    <x v="1"/>
    <s v="BATAR"/>
  </r>
  <r>
    <x v="1"/>
    <x v="2"/>
    <d v="2026-01-26T00:00:00"/>
    <x v="9"/>
    <s v="2026-M01"/>
    <x v="1"/>
    <s v="LATIFA"/>
    <s v="MATIN"/>
    <s v="FINITION"/>
    <s v="Dégrappage"/>
    <x v="4"/>
    <s v="EMS"/>
    <s v="EJ-186 "/>
    <d v="1899-12-30T06:00:00"/>
    <d v="1899-12-30T07:40:00"/>
    <n v="1.6666666666666661"/>
    <n v="2"/>
    <s v="2EMSBERRECHID"/>
    <n v="3.0991735537190079E-4"/>
    <s v="Arrêt énergie général"/>
    <s v="Coupure d'électricté"/>
    <x v="1"/>
    <s v="BATAR"/>
  </r>
  <r>
    <x v="1"/>
    <x v="2"/>
    <d v="2026-01-26T00:00:00"/>
    <x v="9"/>
    <s v="2026-M01"/>
    <x v="1"/>
    <s v="LATIFA"/>
    <s v="MATIN"/>
    <s v="FINITION"/>
    <s v="Finition"/>
    <x v="4"/>
    <s v="EMS"/>
    <s v="EJ-157"/>
    <d v="1899-12-30T06:00:00"/>
    <d v="1899-12-30T07:40:00"/>
    <n v="1.6666666666666661"/>
    <n v="2"/>
    <s v="2EMSBERRECHID"/>
    <n v="3.0991735537190079E-4"/>
    <s v="Arrêt énergie général"/>
    <s v="Coupure d'électricté"/>
    <x v="1"/>
    <s v="BATAR"/>
  </r>
  <r>
    <x v="1"/>
    <x v="2"/>
    <d v="2026-01-26T00:00:00"/>
    <x v="9"/>
    <s v="2026-M01"/>
    <x v="1"/>
    <s v="LATIFA"/>
    <s v="MATIN"/>
    <s v="FINITION"/>
    <s v="Finition"/>
    <x v="8"/>
    <s v="LE RESTE"/>
    <s v="SERRL5A-sans inclino"/>
    <d v="1899-12-30T06:00:00"/>
    <d v="1899-12-30T07:40:00"/>
    <n v="1.6666666666666661"/>
    <n v="2"/>
    <s v="2LE RESTEBERRECHID"/>
    <n v="6.4566115702479308E-4"/>
    <s v="Arrêt énergie général"/>
    <s v="Coupure d'électricté"/>
    <x v="1"/>
    <s v="BATAR"/>
  </r>
  <r>
    <x v="1"/>
    <x v="2"/>
    <d v="2026-01-26T00:00:00"/>
    <x v="9"/>
    <s v="2026-M01"/>
    <x v="1"/>
    <s v="LATIFA"/>
    <s v="MATIN"/>
    <s v="FINITION"/>
    <s v="Finition"/>
    <x v="3"/>
    <s v="EDMI"/>
    <s v="EDM830-00144"/>
    <d v="1899-12-30T06:00:00"/>
    <d v="1899-12-30T07:40:00"/>
    <n v="1.6666666666666661"/>
    <n v="3"/>
    <s v="3EDMIBERRECHID"/>
    <n v="1.2913223140495862E-3"/>
    <s v="Arrêt énergie général"/>
    <s v="Coupure d'électricté"/>
    <x v="1"/>
    <s v="BATAR"/>
  </r>
  <r>
    <x v="1"/>
    <x v="2"/>
    <d v="2026-01-26T00:00:00"/>
    <x v="9"/>
    <s v="2026-M01"/>
    <x v="1"/>
    <s v="Hanane"/>
    <s v="MATIN"/>
    <s v="TRAD"/>
    <s v="vague"/>
    <x v="3"/>
    <s v="EDMI"/>
    <s v="EDM830-010-107BRTISH"/>
    <d v="1899-12-30T10:20:00"/>
    <d v="1899-12-30T14:00:00"/>
    <n v="3.666666666666667"/>
    <n v="3"/>
    <s v="3EDMIBERRECHID"/>
    <n v="2.8409090909090906E-3"/>
    <s v="Rupture approvisionnement"/>
    <s v="Manquant officiel sur CMS switch EDM185-00007"/>
    <x v="0"/>
    <s v="Boudra"/>
  </r>
  <r>
    <x v="1"/>
    <x v="2"/>
    <d v="2026-01-27T00:00:00"/>
    <x v="9"/>
    <s v="2026-M01"/>
    <x v="1"/>
    <s v="ISMAIL"/>
    <s v="MATIN"/>
    <s v="TEST TAKAYA"/>
    <s v="Takaya-9411"/>
    <x v="5"/>
    <s v="LE RESTE"/>
    <s v="MEMMERPF09103"/>
    <d v="1899-12-30T06:00:00"/>
    <d v="1899-12-30T10:00:00"/>
    <n v="4"/>
    <n v="2"/>
    <s v="2LE RESTEBERRECHID"/>
    <n v="1.549586776859504E-3"/>
    <s v="Rupture approvisionnement"/>
    <s v="Manque de carte dans le IN Takaya suite au Manquant du composant Trad : SWITCHING BLOC H.T. (TDK)"/>
    <x v="0"/>
    <s v="Boudra"/>
  </r>
  <r>
    <x v="1"/>
    <x v="2"/>
    <d v="2026-01-27T00:00:00"/>
    <x v="9"/>
    <s v="2026-M01"/>
    <x v="1"/>
    <s v="KNIDAR"/>
    <s v="APM"/>
    <s v="CMS"/>
    <s v="LIGNE 2"/>
    <x v="3"/>
    <s v="EDMI"/>
    <s v="EDM830-010-107"/>
    <d v="1899-12-30T13:30:00"/>
    <d v="1899-12-30T15:30:00"/>
    <n v="2"/>
    <n v="3"/>
    <s v="3EDMIBERRECHID"/>
    <n v="1.549586776859504E-3"/>
    <s v="Problème communication"/>
    <s v="Problème communication entre cogiscan et Panacim (traçabilité)"/>
    <x v="3"/>
    <s v="RAFIQ"/>
  </r>
  <r>
    <x v="1"/>
    <x v="2"/>
    <d v="2026-01-27T00:00:00"/>
    <x v="9"/>
    <s v="2026-M01"/>
    <x v="1"/>
    <s v="KNIDAR"/>
    <s v="APM"/>
    <s v="CMS"/>
    <s v="LIGNE 2"/>
    <x v="3"/>
    <s v="EDMI"/>
    <s v="EDM830-010-107"/>
    <d v="1899-12-30T19:00:00"/>
    <d v="1899-12-30T22:00:00"/>
    <n v="3"/>
    <n v="3"/>
    <s v="3EDMIBERRECHID"/>
    <n v="2.3243801652892558E-3"/>
    <s v="Problème communication"/>
    <s v="Problème communication entre cogiscan et Panacim (traçabilité)"/>
    <x v="3"/>
    <s v="RAFIQ"/>
  </r>
  <r>
    <x v="0"/>
    <x v="0"/>
    <d v="2026-01-26T00:00:00"/>
    <x v="9"/>
    <s v="2026-M01"/>
    <x v="1"/>
    <s v="DAHAB"/>
    <s v="NORMALE"/>
    <s v="TEST"/>
    <s v="Test fonctionnel_x000a_(T4675-01)"/>
    <x v="1"/>
    <s v="ABB"/>
    <n v="5505"/>
    <d v="1899-12-30T08:30:00"/>
    <d v="1899-12-30T18:00:00"/>
    <n v="9.5000000000000142"/>
    <n v="1"/>
    <s v="1ABBTEMARA"/>
    <n v="1.6554076374207211E-2"/>
    <s v="Défaillance électrique banc de  test"/>
    <s v="un dysfonctionnement au niveau de l'interface 6mm Ressort,"/>
    <x v="1"/>
    <s v="NAWFEL/ANAS"/>
  </r>
  <r>
    <x v="0"/>
    <x v="0"/>
    <d v="2026-01-27T00:00:00"/>
    <x v="9"/>
    <s v="2026-M01"/>
    <x v="1"/>
    <s v="DAHAB"/>
    <s v="NORMALE"/>
    <s v="TEST"/>
    <s v="Test fonctionnel_x000a_(T4675-01)"/>
    <x v="1"/>
    <s v="ABB"/>
    <n v="5505"/>
    <d v="1899-12-30T08:30:00"/>
    <d v="1899-12-30T18:00:00"/>
    <n v="9.5000000000000142"/>
    <n v="1"/>
    <s v="1ABBTEMARA"/>
    <n v="1.6554076374207211E-2"/>
    <s v="Défaillance électrique banc de  test"/>
    <s v="un dysfonctionnement au niveau de l'interface 6mm Ressort,"/>
    <x v="1"/>
    <s v="NAWFEL/ANAS"/>
  </r>
  <r>
    <x v="0"/>
    <x v="0"/>
    <d v="2026-01-28T00:00:00"/>
    <x v="9"/>
    <s v="2026-M01"/>
    <x v="1"/>
    <s v="DAHAB"/>
    <s v="NORMALE"/>
    <s v="TEST"/>
    <s v="Test fonctionnel_x000a_(T4675-01)"/>
    <x v="1"/>
    <s v="ABB"/>
    <n v="5527"/>
    <d v="1899-12-30T08:30:00"/>
    <d v="1899-12-30T13:30:00"/>
    <n v="5.0000000000000142"/>
    <n v="1"/>
    <s v="1ABBTEMARA"/>
    <n v="8.712671775898545E-3"/>
    <s v="Défaillance électrique banc de  test"/>
    <s v="un dysfonctionnement au niveau de l'interface 6mm Ressort,"/>
    <x v="1"/>
    <s v="NAWFEL/ANAS"/>
  </r>
  <r>
    <x v="2"/>
    <x v="3"/>
    <m/>
    <x v="10"/>
    <m/>
    <x v="2"/>
    <m/>
    <m/>
    <m/>
    <m/>
    <x v="14"/>
    <m/>
    <m/>
    <m/>
    <m/>
    <m/>
    <m/>
    <m/>
    <m/>
    <m/>
    <m/>
    <x v="8"/>
    <m/>
  </r>
  <r>
    <x v="2"/>
    <x v="3"/>
    <m/>
    <x v="10"/>
    <m/>
    <x v="2"/>
    <m/>
    <m/>
    <m/>
    <m/>
    <x v="14"/>
    <m/>
    <m/>
    <m/>
    <m/>
    <m/>
    <m/>
    <m/>
    <m/>
    <m/>
    <m/>
    <x v="8"/>
    <m/>
  </r>
  <r>
    <x v="2"/>
    <x v="3"/>
    <m/>
    <x v="10"/>
    <m/>
    <x v="2"/>
    <m/>
    <m/>
    <m/>
    <m/>
    <x v="14"/>
    <m/>
    <m/>
    <m/>
    <m/>
    <m/>
    <m/>
    <m/>
    <m/>
    <m/>
    <m/>
    <x v="8"/>
    <m/>
  </r>
  <r>
    <x v="2"/>
    <x v="3"/>
    <m/>
    <x v="10"/>
    <m/>
    <x v="2"/>
    <m/>
    <m/>
    <m/>
    <m/>
    <x v="14"/>
    <m/>
    <m/>
    <m/>
    <m/>
    <m/>
    <m/>
    <m/>
    <m/>
    <m/>
    <m/>
    <x v="8"/>
    <m/>
  </r>
  <r>
    <x v="2"/>
    <x v="3"/>
    <m/>
    <x v="10"/>
    <m/>
    <x v="2"/>
    <m/>
    <m/>
    <m/>
    <m/>
    <x v="14"/>
    <m/>
    <m/>
    <m/>
    <m/>
    <m/>
    <m/>
    <m/>
    <m/>
    <m/>
    <m/>
    <x v="8"/>
    <m/>
  </r>
  <r>
    <x v="2"/>
    <x v="3"/>
    <m/>
    <x v="10"/>
    <m/>
    <x v="2"/>
    <m/>
    <m/>
    <m/>
    <m/>
    <x v="14"/>
    <m/>
    <m/>
    <m/>
    <m/>
    <m/>
    <m/>
    <m/>
    <m/>
    <m/>
    <m/>
    <x v="8"/>
    <m/>
  </r>
  <r>
    <x v="2"/>
    <x v="3"/>
    <m/>
    <x v="10"/>
    <m/>
    <x v="2"/>
    <m/>
    <m/>
    <m/>
    <m/>
    <x v="14"/>
    <m/>
    <m/>
    <m/>
    <m/>
    <m/>
    <m/>
    <m/>
    <m/>
    <m/>
    <m/>
    <x v="8"/>
    <m/>
  </r>
  <r>
    <x v="2"/>
    <x v="3"/>
    <m/>
    <x v="10"/>
    <m/>
    <x v="2"/>
    <m/>
    <m/>
    <m/>
    <m/>
    <x v="14"/>
    <m/>
    <m/>
    <m/>
    <m/>
    <m/>
    <m/>
    <m/>
    <m/>
    <m/>
    <m/>
    <x v="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5">
  <location ref="A4:B26" firstHeaderRow="1" firstDataRow="1" firstDataCol="1" rowPageCount="1" colPageCount="1"/>
  <pivotFields count="23">
    <pivotField axis="axisRow" showAll="0">
      <items count="4">
        <item x="1"/>
        <item x="0"/>
        <item h="1" x="2"/>
        <item t="default"/>
      </items>
    </pivotField>
    <pivotField showAll="0"/>
    <pivotField numFmtId="14" showAll="0"/>
    <pivotField axis="axisPage" multipleItemSelectionAllowed="1" showAll="0">
      <items count="12">
        <item h="1" x="0"/>
        <item h="1" x="1"/>
        <item h="1" x="2"/>
        <item h="1" x="3"/>
        <item h="1" x="4"/>
        <item x="5"/>
        <item x="6"/>
        <item x="7"/>
        <item x="8"/>
        <item x="10"/>
        <item h="1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84">
        <item x="54"/>
        <item x="70"/>
        <item x="30"/>
        <item x="73"/>
        <item x="65"/>
        <item x="53"/>
        <item x="67"/>
        <item x="19"/>
        <item x="21"/>
        <item x="48"/>
        <item x="50"/>
        <item x="69"/>
        <item x="6"/>
        <item x="47"/>
        <item x="15"/>
        <item x="10"/>
        <item x="3"/>
        <item x="18"/>
        <item m="1" x="81"/>
        <item x="13"/>
        <item x="75"/>
        <item x="42"/>
        <item x="68"/>
        <item x="49"/>
        <item m="1" x="78"/>
        <item x="46"/>
        <item x="43"/>
        <item x="71"/>
        <item x="1"/>
        <item x="56"/>
        <item x="5"/>
        <item x="60"/>
        <item x="58"/>
        <item x="29"/>
        <item x="16"/>
        <item x="39"/>
        <item x="25"/>
        <item x="9"/>
        <item x="22"/>
        <item x="66"/>
        <item x="36"/>
        <item x="11"/>
        <item x="23"/>
        <item x="34"/>
        <item x="62"/>
        <item x="26"/>
        <item x="57"/>
        <item x="40"/>
        <item x="63"/>
        <item x="37"/>
        <item x="4"/>
        <item x="33"/>
        <item x="72"/>
        <item x="52"/>
        <item x="27"/>
        <item x="74"/>
        <item x="2"/>
        <item x="32"/>
        <item x="45"/>
        <item x="41"/>
        <item x="8"/>
        <item x="28"/>
        <item x="38"/>
        <item x="17"/>
        <item x="59"/>
        <item x="24"/>
        <item x="55"/>
        <item x="12"/>
        <item x="20"/>
        <item x="51"/>
        <item x="61"/>
        <item x="44"/>
        <item x="0"/>
        <item m="1" x="82"/>
        <item m="1" x="80"/>
        <item x="31"/>
        <item x="35"/>
        <item x="7"/>
        <item m="1" x="79"/>
        <item x="77"/>
        <item x="14"/>
        <item x="64"/>
        <item x="7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12">
        <item h="1" x="5"/>
        <item h="1" x="3"/>
        <item x="1"/>
        <item h="1" x="4"/>
        <item h="1" x="0"/>
        <item h="1" x="2"/>
        <item h="1" m="1" x="9"/>
        <item h="1" x="8"/>
        <item h="1" m="1" x="10"/>
        <item h="1" x="7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3">
    <field x="21"/>
    <field x="0"/>
    <field x="19"/>
  </rowFields>
  <rowItems count="22">
    <i>
      <x v="2"/>
    </i>
    <i r="1">
      <x/>
    </i>
    <i r="2">
      <x v="6"/>
    </i>
    <i r="2">
      <x v="21"/>
    </i>
    <i r="2">
      <x v="48"/>
    </i>
    <i r="2">
      <x v="58"/>
    </i>
    <i r="2">
      <x v="55"/>
    </i>
    <i r="2">
      <x v="25"/>
    </i>
    <i r="2">
      <x v="26"/>
    </i>
    <i r="2">
      <x v="9"/>
    </i>
    <i r="2">
      <x v="4"/>
    </i>
    <i r="2">
      <x v="64"/>
    </i>
    <i r="2">
      <x/>
    </i>
    <i r="2">
      <x v="81"/>
    </i>
    <i r="2">
      <x v="71"/>
    </i>
    <i r="1">
      <x v="1"/>
    </i>
    <i r="2">
      <x v="80"/>
    </i>
    <i r="2">
      <x v="70"/>
    </i>
    <i r="2">
      <x v="44"/>
    </i>
    <i r="2">
      <x v="53"/>
    </i>
    <i r="2">
      <x v="31"/>
    </i>
    <i t="grand">
      <x/>
    </i>
  </rowItems>
  <colItems count="1">
    <i/>
  </colItems>
  <pageFields count="1">
    <pageField fld="3" hier="-1"/>
  </pageFields>
  <dataFields count="1">
    <dataField name="Somme de Durée en :H" fld="15" baseField="0" baseItem="0" numFmtId="164"/>
  </dataFields>
  <formats count="28">
    <format dxfId="91">
      <pivotArea outline="0" collapsedLevelsAreSubtotals="1" fieldPosition="0"/>
    </format>
    <format dxfId="90">
      <pivotArea outline="0" collapsedLevelsAreSubtotals="1" fieldPosition="0"/>
    </format>
    <format dxfId="89">
      <pivotArea outline="0" collapsedLevelsAreSubtotals="1" fieldPosition="0"/>
    </format>
    <format dxfId="88">
      <pivotArea dataOnly="0" labelOnly="1" grandRow="1" outline="0" fieldPosition="0"/>
    </format>
    <format dxfId="87">
      <pivotArea outline="0" collapsedLevelsAreSubtotals="1" fieldPosition="0"/>
    </format>
    <format dxfId="86">
      <pivotArea dataOnly="0" labelOnly="1" grandRow="1" outline="0" fieldPosition="0"/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21" type="button" dataOnly="0" labelOnly="1" outline="0" axis="axisRow" fieldPosition="0"/>
    </format>
    <format dxfId="82">
      <pivotArea dataOnly="0" labelOnly="1" grandRow="1" outline="0" fieldPosition="0"/>
    </format>
    <format dxfId="81">
      <pivotArea dataOnly="0" labelOnly="1" outline="0" axis="axisValues" fieldPosition="0"/>
    </format>
    <format dxfId="80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79">
      <pivotArea type="origin" dataOnly="0" labelOnly="1" outline="0" fieldPosition="0"/>
    </format>
    <format dxfId="78">
      <pivotArea field="0" type="button" dataOnly="0" labelOnly="1" outline="0" axis="axisRow" fieldPosition="1"/>
    </format>
    <format dxfId="77">
      <pivotArea field="21" type="button" dataOnly="0" labelOnly="1" outline="0" axis="axisRow" fieldPosition="0"/>
    </format>
    <format dxfId="76">
      <pivotArea dataOnly="0" labelOnly="1" grandRow="1" outline="0" fieldPosition="0"/>
    </format>
    <format dxfId="75">
      <pivotArea dataOnly="0" labelOnly="1" fieldPosition="0">
        <references count="1">
          <reference field="0" count="1">
            <x v="0"/>
          </reference>
        </references>
      </pivotArea>
    </format>
    <format dxfId="74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73">
      <pivotArea type="origin" dataOnly="0" labelOnly="1" outline="0" fieldPosition="0"/>
    </format>
    <format dxfId="72">
      <pivotArea field="0" type="button" dataOnly="0" labelOnly="1" outline="0" axis="axisRow" fieldPosition="1"/>
    </format>
    <format dxfId="71">
      <pivotArea field="21" type="button" dataOnly="0" labelOnly="1" outline="0" axis="axisRow" fieldPosition="0"/>
    </format>
    <format dxfId="70">
      <pivotArea dataOnly="0" labelOnly="1" grandRow="1" outline="0" fieldPosition="0"/>
    </format>
    <format dxfId="69">
      <pivotArea dataOnly="0" labelOnly="1" fieldPosition="0">
        <references count="1">
          <reference field="0" count="1">
            <x v="0"/>
          </reference>
        </references>
      </pivotArea>
    </format>
    <format dxfId="68">
      <pivotArea outline="0" collapsedLevelsAreSubtotals="1" fieldPosition="0"/>
    </format>
    <format dxfId="67">
      <pivotArea field="21" type="button" dataOnly="0" labelOnly="1" outline="0" axis="axisRow" fieldPosition="0"/>
    </format>
    <format dxfId="66">
      <pivotArea dataOnly="0" labelOnly="1" grandRow="1" outline="0" fieldPosition="0"/>
    </format>
    <format dxfId="65">
      <pivotArea dataOnly="0" labelOnly="1" grandCol="1" outline="0" fieldPosition="0"/>
    </format>
    <format dxfId="64">
      <pivotArea outline="0" collapsedLevelsAreSubtotals="1" fieldPosition="0"/>
    </format>
  </formats>
  <chartFormats count="66">
    <chartFormat chart="53" format="12" series="1">
      <pivotArea type="data" outline="0" fieldPosition="0">
        <references count="1">
          <reference field="21" count="1" selected="0">
            <x v="0"/>
          </reference>
        </references>
      </pivotArea>
    </chartFormat>
    <chartFormat chart="53" format="13" series="1">
      <pivotArea type="data" outline="0" fieldPosition="0">
        <references count="1">
          <reference field="21" count="1" selected="0">
            <x v="1"/>
          </reference>
        </references>
      </pivotArea>
    </chartFormat>
    <chartFormat chart="53" format="14" series="1">
      <pivotArea type="data" outline="0" fieldPosition="0">
        <references count="1">
          <reference field="21" count="1" selected="0">
            <x v="2"/>
          </reference>
        </references>
      </pivotArea>
    </chartFormat>
    <chartFormat chart="53" format="15" series="1">
      <pivotArea type="data" outline="0" fieldPosition="0">
        <references count="1">
          <reference field="21" count="1" selected="0">
            <x v="4"/>
          </reference>
        </references>
      </pivotArea>
    </chartFormat>
    <chartFormat chart="53" format="16" series="1">
      <pivotArea type="data" outline="0" fieldPosition="0">
        <references count="1">
          <reference field="21" count="1" selected="0">
            <x v="5"/>
          </reference>
        </references>
      </pivotArea>
    </chartFormat>
    <chartFormat chart="53" format="17" series="1">
      <pivotArea type="data" outline="0" fieldPosition="0">
        <references count="1">
          <reference field="21" count="1" selected="0">
            <x v="9"/>
          </reference>
        </references>
      </pivotArea>
    </chartFormat>
    <chartFormat chart="53" format="18" series="1">
      <pivotArea type="data" outline="0" fieldPosition="0">
        <references count="1">
          <reference field="21" count="1" selected="0">
            <x v="10"/>
          </reference>
        </references>
      </pivotArea>
    </chartFormat>
    <chartFormat chart="0" format="27" series="1">
      <pivotArea type="data" outline="0" fieldPosition="0">
        <references count="1">
          <reference field="21" count="1" selected="0">
            <x v="0"/>
          </reference>
        </references>
      </pivotArea>
    </chartFormat>
    <chartFormat chart="0" format="28" series="1">
      <pivotArea type="data" outline="0" fieldPosition="0">
        <references count="1">
          <reference field="21" count="1" selected="0">
            <x v="1"/>
          </reference>
        </references>
      </pivotArea>
    </chartFormat>
    <chartFormat chart="0" format="29" series="1">
      <pivotArea type="data" outline="0" fieldPosition="0">
        <references count="1">
          <reference field="21" count="1" selected="0">
            <x v="2"/>
          </reference>
        </references>
      </pivotArea>
    </chartFormat>
    <chartFormat chart="0" format="30" series="1">
      <pivotArea type="data" outline="0" fieldPosition="0">
        <references count="1">
          <reference field="21" count="1" selected="0">
            <x v="4"/>
          </reference>
        </references>
      </pivotArea>
    </chartFormat>
    <chartFormat chart="0" format="31" series="1">
      <pivotArea type="data" outline="0" fieldPosition="0">
        <references count="1">
          <reference field="21" count="1" selected="0">
            <x v="5"/>
          </reference>
        </references>
      </pivotArea>
    </chartFormat>
    <chartFormat chart="0" format="32" series="1">
      <pivotArea type="data" outline="0" fieldPosition="0">
        <references count="1">
          <reference field="21" count="1" selected="0">
            <x v="9"/>
          </reference>
        </references>
      </pivotArea>
    </chartFormat>
    <chartFormat chart="0" format="33" series="1">
      <pivotArea type="data" outline="0" fieldPosition="0">
        <references count="1">
          <reference field="21" count="1" selected="0">
            <x v="10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0"/>
          </reference>
        </references>
      </pivotArea>
    </chartFormat>
    <chartFormat chart="53" format="19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0"/>
          </reference>
        </references>
      </pivotArea>
    </chartFormat>
    <chartFormat chart="53" format="2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53" format="2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53" format="2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53" format="2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53" format="2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21" count="1" selected="0">
            <x v="2"/>
          </reference>
        </references>
      </pivotArea>
    </chartFormat>
    <chartFormat chart="53" format="2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21" count="1" selected="0">
            <x v="2"/>
          </reference>
        </references>
      </pivotArea>
    </chartFormat>
    <chartFormat chart="53" format="2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21" count="1" selected="0">
            <x v="4"/>
          </reference>
        </references>
      </pivotArea>
    </chartFormat>
    <chartFormat chart="53" format="2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21" count="1" selected="0">
            <x v="4"/>
          </reference>
        </references>
      </pivotArea>
    </chartFormat>
    <chartFormat chart="53" format="2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21" count="1" selected="0">
            <x v="4"/>
          </reference>
        </references>
      </pivotArea>
    </chartFormat>
    <chartFormat chart="53" format="2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21" count="1" selected="0">
            <x v="1"/>
          </reference>
        </references>
      </pivotArea>
    </chartFormat>
    <chartFormat chart="53" format="3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21" count="1" selected="0">
            <x v="1"/>
          </reference>
        </references>
      </pivotArea>
    </chartFormat>
    <chartFormat chart="53" format="3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21" count="1" selected="0">
            <x v="9"/>
          </reference>
        </references>
      </pivotArea>
    </chartFormat>
    <chartFormat chart="53" format="3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21" count="1" selected="0">
            <x v="0"/>
          </reference>
        </references>
      </pivotArea>
    </chartFormat>
    <chartFormat chart="0" format="4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21" count="1" selected="0">
            <x v="2"/>
          </reference>
        </references>
      </pivotArea>
    </chartFormat>
    <chartFormat chart="0" format="4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21" count="1" selected="0">
            <x v="2"/>
          </reference>
        </references>
      </pivotArea>
    </chartFormat>
    <chartFormat chart="0" format="4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21" count="1" selected="0">
            <x v="4"/>
          </reference>
        </references>
      </pivotArea>
    </chartFormat>
    <chartFormat chart="0" format="4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21" count="1" selected="0">
            <x v="4"/>
          </reference>
        </references>
      </pivotArea>
    </chartFormat>
    <chartFormat chart="0" format="4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21" count="1" selected="0">
            <x v="4"/>
          </reference>
        </references>
      </pivotArea>
    </chartFormat>
    <chartFormat chart="0" format="4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21" count="1" selected="0">
            <x v="1"/>
          </reference>
        </references>
      </pivotArea>
    </chartFormat>
    <chartFormat chart="0" format="4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21" count="1" selected="0">
            <x v="1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21" count="1" selected="0">
            <x v="9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21" count="1" selected="0">
            <x v="0"/>
          </reference>
        </references>
      </pivotArea>
    </chartFormat>
    <chartFormat chart="62" format="3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62" format="3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0"/>
          </reference>
        </references>
      </pivotArea>
    </chartFormat>
    <chartFormat chart="62" format="3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62" format="3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62" format="37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62" format="38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9"/>
          </reference>
        </references>
      </pivotArea>
    </chartFormat>
    <chartFormat chart="62" format="39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63" format="4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63" format="4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0"/>
          </reference>
        </references>
      </pivotArea>
    </chartFormat>
    <chartFormat chart="63" format="4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63" format="4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63" format="4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63" format="4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9"/>
          </reference>
        </references>
      </pivotArea>
    </chartFormat>
    <chartFormat chart="63" format="4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64" format="3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64" format="3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0"/>
          </reference>
        </references>
      </pivotArea>
    </chartFormat>
    <chartFormat chart="64" format="3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64" format="3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64" format="37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64" format="38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9"/>
          </reference>
        </references>
      </pivotArea>
    </chartFormat>
    <chartFormat chart="64" format="39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64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eau croisé dynamique1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9">
  <location ref="A3:B23" firstHeaderRow="1" firstDataRow="1" firstDataCol="1" rowPageCount="1" colPageCount="1"/>
  <pivotFields count="23">
    <pivotField axis="axisRow" showAll="0">
      <items count="4">
        <item x="1"/>
        <item x="0"/>
        <item h="1" x="2"/>
        <item t="default"/>
      </items>
    </pivotField>
    <pivotField showAll="0"/>
    <pivotField numFmtId="14" showAll="0"/>
    <pivotField axis="axisPage" multipleItemSelectionAllowed="1" showAll="0">
      <items count="12">
        <item h="1" x="0"/>
        <item h="1" x="1"/>
        <item h="1" x="2"/>
        <item h="1" x="3"/>
        <item h="1" x="4"/>
        <item x="5"/>
        <item x="6"/>
        <item x="7"/>
        <item x="8"/>
        <item x="10"/>
        <item h="1" x="9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12">
        <item x="5"/>
        <item x="3"/>
        <item x="1"/>
        <item x="4"/>
        <item x="0"/>
        <item x="2"/>
        <item m="1" x="9"/>
        <item x="8"/>
        <item m="1" x="10"/>
        <item x="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3">
    <field x="4"/>
    <field x="21"/>
    <field x="0"/>
  </rowFields>
  <rowItems count="20">
    <i>
      <x v="1"/>
    </i>
    <i r="1">
      <x v="5"/>
    </i>
    <i r="2">
      <x/>
    </i>
    <i r="2">
      <x v="1"/>
    </i>
    <i r="1">
      <x v="10"/>
    </i>
    <i r="2">
      <x/>
    </i>
    <i r="2">
      <x v="1"/>
    </i>
    <i r="1">
      <x v="2"/>
    </i>
    <i r="2">
      <x/>
    </i>
    <i r="2">
      <x v="1"/>
    </i>
    <i r="1">
      <x v="4"/>
    </i>
    <i r="2">
      <x/>
    </i>
    <i r="2">
      <x v="1"/>
    </i>
    <i r="1">
      <x v="1"/>
    </i>
    <i r="2">
      <x/>
    </i>
    <i r="1">
      <x v="9"/>
    </i>
    <i r="2">
      <x/>
    </i>
    <i r="1">
      <x/>
    </i>
    <i r="2">
      <x/>
    </i>
    <i t="grand">
      <x/>
    </i>
  </rowItems>
  <colItems count="1">
    <i/>
  </colItems>
  <pageFields count="1">
    <pageField fld="3" hier="-1"/>
  </pageFields>
  <dataFields count="1">
    <dataField name="Somme de Durée en :H" fld="15" baseField="0" baseItem="0" numFmtId="164"/>
  </dataFields>
  <formats count="28">
    <format dxfId="63">
      <pivotArea outline="0" collapsedLevelsAreSubtotals="1" fieldPosition="0"/>
    </format>
    <format dxfId="62">
      <pivotArea outline="0" collapsedLevelsAreSubtotals="1" fieldPosition="0"/>
    </format>
    <format dxfId="61">
      <pivotArea outline="0" collapsedLevelsAreSubtotals="1" fieldPosition="0"/>
    </format>
    <format dxfId="60">
      <pivotArea dataOnly="0" labelOnly="1" grandRow="1" outline="0" fieldPosition="0"/>
    </format>
    <format dxfId="59">
      <pivotArea outline="0" collapsedLevelsAreSubtotals="1" fieldPosition="0"/>
    </format>
    <format dxfId="58">
      <pivotArea dataOnly="0" labelOnly="1" grandRow="1" outline="0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21" type="button" dataOnly="0" labelOnly="1" outline="0" axis="axisRow" fieldPosition="1"/>
    </format>
    <format dxfId="54">
      <pivotArea dataOnly="0" labelOnly="1" grandRow="1" outline="0" fieldPosition="0"/>
    </format>
    <format dxfId="53">
      <pivotArea dataOnly="0" labelOnly="1" outline="0" axis="axisValues" fieldPosition="0"/>
    </format>
    <format dxfId="52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51">
      <pivotArea type="origin" dataOnly="0" labelOnly="1" outline="0" fieldPosition="0"/>
    </format>
    <format dxfId="50">
      <pivotArea field="0" type="button" dataOnly="0" labelOnly="1" outline="0" axis="axisRow" fieldPosition="2"/>
    </format>
    <format dxfId="49">
      <pivotArea field="21" type="button" dataOnly="0" labelOnly="1" outline="0" axis="axisRow" fieldPosition="1"/>
    </format>
    <format dxfId="48">
      <pivotArea dataOnly="0" labelOnly="1" grandRow="1" outline="0" fieldPosition="0"/>
    </format>
    <format dxfId="47">
      <pivotArea dataOnly="0" labelOnly="1" fieldPosition="0">
        <references count="1">
          <reference field="0" count="1">
            <x v="0"/>
          </reference>
        </references>
      </pivotArea>
    </format>
    <format dxfId="46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45">
      <pivotArea type="origin" dataOnly="0" labelOnly="1" outline="0" fieldPosition="0"/>
    </format>
    <format dxfId="44">
      <pivotArea field="0" type="button" dataOnly="0" labelOnly="1" outline="0" axis="axisRow" fieldPosition="2"/>
    </format>
    <format dxfId="43">
      <pivotArea field="21" type="button" dataOnly="0" labelOnly="1" outline="0" axis="axisRow" fieldPosition="1"/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0" count="1">
            <x v="0"/>
          </reference>
        </references>
      </pivotArea>
    </format>
    <format dxfId="40">
      <pivotArea outline="0" collapsedLevelsAreSubtotals="1" fieldPosition="0"/>
    </format>
    <format dxfId="39">
      <pivotArea field="21" type="button" dataOnly="0" labelOnly="1" outline="0" axis="axisRow" fieldPosition="1"/>
    </format>
    <format dxfId="38">
      <pivotArea dataOnly="0" labelOnly="1" grandRow="1" outline="0" fieldPosition="0"/>
    </format>
    <format dxfId="37">
      <pivotArea dataOnly="0" labelOnly="1" grandCol="1" outline="0" fieldPosition="0"/>
    </format>
    <format dxfId="36">
      <pivotArea outline="0" collapsedLevelsAreSubtotals="1" fieldPosition="0"/>
    </format>
  </formats>
  <chartFormats count="35">
    <chartFormat chart="53" format="12" series="1">
      <pivotArea type="data" outline="0" fieldPosition="0">
        <references count="1">
          <reference field="21" count="1" selected="0">
            <x v="0"/>
          </reference>
        </references>
      </pivotArea>
    </chartFormat>
    <chartFormat chart="53" format="13" series="1">
      <pivotArea type="data" outline="0" fieldPosition="0">
        <references count="1">
          <reference field="21" count="1" selected="0">
            <x v="1"/>
          </reference>
        </references>
      </pivotArea>
    </chartFormat>
    <chartFormat chart="53" format="14" series="1">
      <pivotArea type="data" outline="0" fieldPosition="0">
        <references count="1">
          <reference field="21" count="1" selected="0">
            <x v="2"/>
          </reference>
        </references>
      </pivotArea>
    </chartFormat>
    <chartFormat chart="53" format="15" series="1">
      <pivotArea type="data" outline="0" fieldPosition="0">
        <references count="1">
          <reference field="21" count="1" selected="0">
            <x v="4"/>
          </reference>
        </references>
      </pivotArea>
    </chartFormat>
    <chartFormat chart="53" format="16" series="1">
      <pivotArea type="data" outline="0" fieldPosition="0">
        <references count="1">
          <reference field="21" count="1" selected="0">
            <x v="5"/>
          </reference>
        </references>
      </pivotArea>
    </chartFormat>
    <chartFormat chart="53" format="17" series="1">
      <pivotArea type="data" outline="0" fieldPosition="0">
        <references count="1">
          <reference field="21" count="1" selected="0">
            <x v="9"/>
          </reference>
        </references>
      </pivotArea>
    </chartFormat>
    <chartFormat chart="53" format="18" series="1">
      <pivotArea type="data" outline="0" fieldPosition="0">
        <references count="1">
          <reference field="21" count="1" selected="0">
            <x v="10"/>
          </reference>
        </references>
      </pivotArea>
    </chartFormat>
    <chartFormat chart="53" format="19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0"/>
          </reference>
        </references>
      </pivotArea>
    </chartFormat>
    <chartFormat chart="53" format="2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53" format="2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53" format="2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53" format="2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53" format="2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21" count="1" selected="0">
            <x v="2"/>
          </reference>
        </references>
      </pivotArea>
    </chartFormat>
    <chartFormat chart="53" format="2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21" count="1" selected="0">
            <x v="2"/>
          </reference>
        </references>
      </pivotArea>
    </chartFormat>
    <chartFormat chart="53" format="2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21" count="1" selected="0">
            <x v="4"/>
          </reference>
        </references>
      </pivotArea>
    </chartFormat>
    <chartFormat chart="53" format="2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21" count="1" selected="0">
            <x v="4"/>
          </reference>
        </references>
      </pivotArea>
    </chartFormat>
    <chartFormat chart="53" format="2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21" count="1" selected="0">
            <x v="4"/>
          </reference>
        </references>
      </pivotArea>
    </chartFormat>
    <chartFormat chart="53" format="2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21" count="1" selected="0">
            <x v="1"/>
          </reference>
        </references>
      </pivotArea>
    </chartFormat>
    <chartFormat chart="53" format="3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21" count="1" selected="0">
            <x v="1"/>
          </reference>
        </references>
      </pivotArea>
    </chartFormat>
    <chartFormat chart="53" format="3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21" count="1" selected="0">
            <x v="9"/>
          </reference>
        </references>
      </pivotArea>
    </chartFormat>
    <chartFormat chart="53" format="3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21" count="1" selected="0">
            <x v="0"/>
          </reference>
        </references>
      </pivotArea>
    </chartFormat>
    <chartFormat chart="64" format="3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64" format="3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0"/>
          </reference>
        </references>
      </pivotArea>
    </chartFormat>
    <chartFormat chart="64" format="3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64" format="3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64" format="37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64" format="38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9"/>
          </reference>
        </references>
      </pivotArea>
    </chartFormat>
    <chartFormat chart="64" format="39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64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1" count="1" selected="0">
            <x v="5"/>
          </reference>
        </references>
      </pivotArea>
    </chartFormat>
    <chartFormat chart="64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1" count="1" selected="0">
            <x v="2"/>
          </reference>
        </references>
      </pivotArea>
    </chartFormat>
    <chartFormat chart="64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1" count="1" selected="0">
            <x v="5"/>
          </reference>
        </references>
      </pivotArea>
    </chartFormat>
    <chartFormat chart="64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44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"/>
          </reference>
          <reference field="21" count="1" selected="0">
            <x v="5"/>
          </reference>
        </references>
      </pivotArea>
    </chartFormat>
    <chartFormat chart="64" format="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"/>
          </reference>
          <reference field="21" count="1" selected="0">
            <x v="5"/>
          </reference>
        </references>
      </pivotArea>
    </chartFormat>
    <chartFormat chart="64" format="46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leau croisé dynamique1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4">
  <location ref="A3:B13" firstHeaderRow="1" firstDataRow="1" firstDataCol="1"/>
  <pivotFields count="23">
    <pivotField axis="axisRow" showAll="0">
      <items count="4">
        <item x="1"/>
        <item x="0"/>
        <item h="1" x="2"/>
        <item t="default"/>
      </items>
    </pivotField>
    <pivotField showAll="0"/>
    <pivotField numFmtId="14" showAll="0"/>
    <pivotField axis="axisRow" multipleItemSelectionAllowed="1" showAll="0">
      <items count="12">
        <item h="1" x="0"/>
        <item h="1" x="1"/>
        <item h="1" x="2"/>
        <item h="1" x="3"/>
        <item h="1" x="4"/>
        <item x="5"/>
        <item x="6"/>
        <item x="7"/>
        <item x="8"/>
        <item x="10"/>
        <item h="1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sortType="descending">
      <items count="12">
        <item x="5"/>
        <item x="3"/>
        <item x="1"/>
        <item x="4"/>
        <item x="0"/>
        <item x="2"/>
        <item m="1" x="9"/>
        <item x="8"/>
        <item m="1" x="10"/>
        <item x="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2">
    <field x="0"/>
    <field x="3"/>
  </rowFields>
  <rowItems count="10">
    <i>
      <x/>
    </i>
    <i r="1">
      <x v="5"/>
    </i>
    <i r="1">
      <x v="6"/>
    </i>
    <i r="1">
      <x v="7"/>
    </i>
    <i r="1">
      <x v="8"/>
    </i>
    <i>
      <x v="1"/>
    </i>
    <i r="1">
      <x v="6"/>
    </i>
    <i r="1">
      <x v="7"/>
    </i>
    <i r="1">
      <x v="8"/>
    </i>
    <i t="grand">
      <x/>
    </i>
  </rowItems>
  <colItems count="1">
    <i/>
  </colItems>
  <dataFields count="1">
    <dataField name="Somme de Durée en :H" fld="15" baseField="0" baseItem="0" numFmtId="164"/>
  </dataFields>
  <formats count="28">
    <format dxfId="35">
      <pivotArea outline="0" collapsedLevelsAreSubtotals="1" fieldPosition="0"/>
    </format>
    <format dxfId="34">
      <pivotArea outline="0" collapsedLevelsAreSubtotals="1" fieldPosition="0"/>
    </format>
    <format dxfId="33">
      <pivotArea outline="0" collapsedLevelsAreSubtotals="1" fieldPosition="0"/>
    </format>
    <format dxfId="32">
      <pivotArea dataOnly="0" labelOnly="1" grandRow="1" outline="0" fieldPosition="0"/>
    </format>
    <format dxfId="31">
      <pivotArea outline="0" collapsedLevelsAreSubtotals="1" fieldPosition="0"/>
    </format>
    <format dxfId="30">
      <pivotArea dataOnly="0" labelOnly="1" grandRow="1" outline="0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21" type="button" dataOnly="0" labelOnly="1" outline="0"/>
    </format>
    <format dxfId="26">
      <pivotArea dataOnly="0" labelOnly="1" grandRow="1" outline="0" fieldPosition="0"/>
    </format>
    <format dxfId="25">
      <pivotArea dataOnly="0" labelOnly="1" outline="0" axis="axisValues" fieldPosition="0"/>
    </format>
    <format dxfId="24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23">
      <pivotArea type="origin" dataOnly="0" labelOnly="1" outline="0" fieldPosition="0"/>
    </format>
    <format dxfId="22">
      <pivotArea field="0" type="button" dataOnly="0" labelOnly="1" outline="0" axis="axisRow" fieldPosition="0"/>
    </format>
    <format dxfId="21">
      <pivotArea field="21" type="button" dataOnly="0" labelOnly="1" outline="0"/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0" count="1">
            <x v="0"/>
          </reference>
        </references>
      </pivotArea>
    </format>
    <format dxfId="18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17">
      <pivotArea type="origin" dataOnly="0" labelOnly="1" outline="0" fieldPosition="0"/>
    </format>
    <format dxfId="16">
      <pivotArea field="0" type="button" dataOnly="0" labelOnly="1" outline="0" axis="axisRow" fieldPosition="0"/>
    </format>
    <format dxfId="15">
      <pivotArea field="21" type="button" dataOnly="0" labelOnly="1" outline="0"/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0" count="1">
            <x v="0"/>
          </reference>
        </references>
      </pivotArea>
    </format>
    <format dxfId="12">
      <pivotArea outline="0" collapsedLevelsAreSubtotals="1" fieldPosition="0"/>
    </format>
    <format dxfId="11">
      <pivotArea field="21" type="button" dataOnly="0" labelOnly="1" outline="0"/>
    </format>
    <format dxfId="10">
      <pivotArea dataOnly="0" labelOnly="1" grandRow="1" outline="0" fieldPosition="0"/>
    </format>
    <format dxfId="9">
      <pivotArea dataOnly="0" labelOnly="1" grandCol="1" outline="0" fieldPosition="0"/>
    </format>
    <format dxfId="8">
      <pivotArea outline="0" collapsedLevelsAreSubtotals="1" fieldPosition="0"/>
    </format>
  </formats>
  <chartFormats count="1">
    <chartFormat chart="53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leau croisé dynamique2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4">
  <location ref="A4:J12" firstHeaderRow="1" firstDataRow="2" firstDataCol="1" rowPageCount="2" colPageCount="1"/>
  <pivotFields count="23">
    <pivotField showAll="0"/>
    <pivotField axis="axisPage" multipleItemSelectionAllowed="1" showAll="0">
      <items count="5">
        <item x="2"/>
        <item x="1"/>
        <item x="0"/>
        <item x="3"/>
        <item t="default"/>
      </items>
    </pivotField>
    <pivotField numFmtId="14" showAll="0"/>
    <pivotField axis="axisRow" showAll="0" sortType="descending">
      <items count="12">
        <item h="1" x="10"/>
        <item h="1" x="9"/>
        <item x="8"/>
        <item x="7"/>
        <item x="6"/>
        <item x="5"/>
        <item x="4"/>
        <item x="3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6">
        <item x="1"/>
        <item x="3"/>
        <item x="4"/>
        <item h="1" x="8"/>
        <item x="0"/>
        <item x="2"/>
        <item x="5"/>
        <item h="1" x="6"/>
        <item h="1" x="7"/>
        <item h="1" x="9"/>
        <item h="1" x="10"/>
        <item h="1" x="14"/>
        <item h="1" x="12"/>
        <item h="1" x="13"/>
        <item h="1" x="11"/>
        <item t="default"/>
      </items>
    </pivotField>
    <pivotField showAll="0"/>
    <pivotField showAll="0"/>
    <pivotField showAll="0"/>
    <pivotField showAll="0"/>
    <pivotField dataField="1" numFmtId="2" showAll="0"/>
    <pivotField showAll="0"/>
    <pivotField showAll="0"/>
    <pivotField numFmtId="10" showAll="0"/>
    <pivotField showAll="0"/>
    <pivotField showAll="0"/>
    <pivotField axis="axisCol" showAll="0" sortType="descending">
      <items count="12">
        <item x="5"/>
        <item x="3"/>
        <item x="1"/>
        <item x="4"/>
        <item x="0"/>
        <item x="2"/>
        <item x="8"/>
        <item m="1" x="9"/>
        <item m="1" x="10"/>
        <item x="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3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1"/>
  </colFields>
  <colItems count="9">
    <i>
      <x v="5"/>
    </i>
    <i>
      <x v="4"/>
    </i>
    <i>
      <x v="2"/>
    </i>
    <i>
      <x v="10"/>
    </i>
    <i>
      <x v="1"/>
    </i>
    <i>
      <x/>
    </i>
    <i>
      <x v="3"/>
    </i>
    <i>
      <x v="9"/>
    </i>
    <i t="grand">
      <x/>
    </i>
  </colItems>
  <pageFields count="2">
    <pageField fld="10" hier="-1"/>
    <pageField fld="1" hier="-1"/>
  </pageFields>
  <dataFields count="1">
    <dataField name="Somme de Durée en :H" fld="15" baseField="0" baseItem="0" numFmtId="2"/>
  </dataFields>
  <formats count="3">
    <format dxfId="7">
      <pivotArea outline="0" collapsedLevelsAreSubtotals="1" fieldPosition="0"/>
    </format>
    <format dxfId="6">
      <pivotArea type="topRight" dataOnly="0" labelOnly="1" outline="0" fieldPosition="0"/>
    </format>
    <format dxfId="5">
      <pivotArea grandCol="1" outline="0" collapsedLevelsAreSubtotals="1" fieldPosition="0"/>
    </format>
  </formats>
  <chartFormats count="12">
    <chartFormat chart="6" format="5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6" format="5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6" format="57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6" format="58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6" format="59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6" format="6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7"/>
          </reference>
        </references>
      </pivotArea>
    </chartFormat>
    <chartFormat chart="6" format="6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8"/>
          </reference>
        </references>
      </pivotArea>
    </chartFormat>
    <chartFormat chart="6" format="6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9"/>
          </reference>
        </references>
      </pivotArea>
    </chartFormat>
    <chartFormat chart="6" format="6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0"/>
          </reference>
        </references>
      </pivotArea>
    </chartFormat>
    <chartFormat chart="6" format="64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21" count="1" selected="0">
            <x v="4"/>
          </reference>
        </references>
      </pivotArea>
    </chartFormat>
    <chartFormat chart="6" format="6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Tableau croisé dynamique2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A2:H9" firstHeaderRow="1" firstDataRow="2" firstDataCol="1"/>
  <pivotFields count="23"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axis="axisRow" showAll="0" sortType="descending">
      <items count="8">
        <item x="4"/>
        <item x="3"/>
        <item x="2"/>
        <item x="1"/>
        <item x="0"/>
        <item m="1" x="6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numFmtId="10" showAll="0"/>
    <pivotField showAll="0"/>
    <pivotField showAll="0"/>
    <pivotField axis="axisCol" showAll="0" sortType="descending">
      <items count="13">
        <item m="1" x="7"/>
        <item m="1" x="10"/>
        <item x="5"/>
        <item x="3"/>
        <item x="1"/>
        <item m="1" x="9"/>
        <item x="4"/>
        <item x="0"/>
        <item x="2"/>
        <item m="1" x="8"/>
        <item m="1" x="11"/>
        <item m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1"/>
  </colFields>
  <colItems count="7">
    <i>
      <x v="4"/>
    </i>
    <i>
      <x v="7"/>
    </i>
    <i>
      <x v="8"/>
    </i>
    <i>
      <x v="3"/>
    </i>
    <i>
      <x v="2"/>
    </i>
    <i>
      <x v="6"/>
    </i>
    <i t="grand">
      <x/>
    </i>
  </colItems>
  <dataFields count="1">
    <dataField name="Somme de Impact Productivité par client" fld="18" baseField="0" baseItem="0" numFmtId="10"/>
  </dataFields>
  <chartFormats count="14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7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8"/>
          </reference>
        </references>
      </pivotArea>
    </chartFormat>
    <chartFormat chart="5" format="3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7"/>
          </reference>
        </references>
      </pivotArea>
    </chartFormat>
    <chartFormat chart="5" format="3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5" format="3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8"/>
          </reference>
        </references>
      </pivotArea>
    </chartFormat>
    <chartFormat chart="5" format="3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5" format="3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5" format="3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5" format="37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Tableau croisé dynamique2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A2:H12" firstHeaderRow="1" firstDataRow="2" firstDataCol="1"/>
  <pivotFields count="23">
    <pivotField axis="axisRow" showAll="0" sortType="descending">
      <items count="5">
        <item m="1" x="3"/>
        <item x="0"/>
        <item x="1"/>
        <item m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axis="axisRow" showAll="0" sortType="descending">
      <items count="8">
        <item x="4"/>
        <item x="3"/>
        <item x="2"/>
        <item x="1"/>
        <item x="0"/>
        <item m="1" x="6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numFmtId="10" showAll="0"/>
    <pivotField showAll="0"/>
    <pivotField showAll="0"/>
    <pivotField axis="axisCol" showAll="0" sortType="descending">
      <items count="13">
        <item m="1" x="7"/>
        <item m="1" x="10"/>
        <item x="5"/>
        <item x="3"/>
        <item x="1"/>
        <item m="1" x="9"/>
        <item x="4"/>
        <item x="0"/>
        <item x="2"/>
        <item m="1" x="8"/>
        <item m="1" x="11"/>
        <item m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2">
    <field x="0"/>
    <field x="3"/>
  </rowFields>
  <rowItems count="9">
    <i>
      <x v="1"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t="grand">
      <x/>
    </i>
  </rowItems>
  <colFields count="1">
    <field x="21"/>
  </colFields>
  <colItems count="7">
    <i>
      <x v="4"/>
    </i>
    <i>
      <x v="7"/>
    </i>
    <i>
      <x v="8"/>
    </i>
    <i>
      <x v="3"/>
    </i>
    <i>
      <x v="2"/>
    </i>
    <i>
      <x v="6"/>
    </i>
    <i t="grand">
      <x/>
    </i>
  </colItems>
  <dataFields count="1">
    <dataField name="Somme de Impact Productivité par client" fld="18" baseField="0" baseItem="0" numFmtId="10"/>
  </dataFields>
  <chartFormats count="7"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7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8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Tableau croisé dynamique1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A3:E16" firstHeaderRow="1" firstDataRow="2" firstDataCol="1" rowPageCount="1" colPageCount="1"/>
  <pivotFields count="23">
    <pivotField axis="axisRow" showAll="0">
      <items count="4">
        <item x="1"/>
        <item x="0"/>
        <item x="2"/>
        <item t="default"/>
      </items>
    </pivotField>
    <pivotField axis="axisCol" showAll="0">
      <items count="5">
        <item x="2"/>
        <item x="1"/>
        <item x="0"/>
        <item x="3"/>
        <item t="default"/>
      </items>
    </pivotField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10"/>
        <item x="9"/>
        <item t="default"/>
      </items>
    </pivotField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3"/>
  </rowFields>
  <rowItems count="12">
    <i>
      <x/>
    </i>
    <i r="1">
      <x v="5"/>
    </i>
    <i r="1">
      <x v="6"/>
    </i>
    <i r="1">
      <x v="7"/>
    </i>
    <i r="1">
      <x v="8"/>
    </i>
    <i r="1">
      <x v="10"/>
    </i>
    <i>
      <x v="1"/>
    </i>
    <i r="1">
      <x v="6"/>
    </i>
    <i r="1">
      <x v="7"/>
    </i>
    <i r="1">
      <x v="8"/>
    </i>
    <i r="1">
      <x v="10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5" hier="-1"/>
  </pageFields>
  <dataFields count="1">
    <dataField name="Somme de Durée en :H" fld="15" baseField="0" baseItem="0" numFmtId="1"/>
  </dataFields>
  <formats count="1">
    <format dxfId="4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Tableau croisé dynamique1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A3:B15" firstHeaderRow="1" firstDataRow="1" firstDataCol="1" rowPageCount="1" colPageCount="1"/>
  <pivotFields count="23"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10"/>
        <item x="9"/>
        <item t="default"/>
      </items>
    </pivotField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0"/>
    <field x="3"/>
  </rowFields>
  <rowItems count="12">
    <i>
      <x/>
    </i>
    <i r="1">
      <x v="5"/>
    </i>
    <i r="1">
      <x v="6"/>
    </i>
    <i r="1">
      <x v="7"/>
    </i>
    <i r="1">
      <x v="8"/>
    </i>
    <i r="1">
      <x v="10"/>
    </i>
    <i>
      <x v="1"/>
    </i>
    <i r="1">
      <x v="6"/>
    </i>
    <i r="1">
      <x v="7"/>
    </i>
    <i r="1">
      <x v="8"/>
    </i>
    <i r="1">
      <x v="10"/>
    </i>
    <i t="grand">
      <x/>
    </i>
  </rowItems>
  <colItems count="1">
    <i/>
  </colItems>
  <pageFields count="1">
    <pageField fld="5" hier="-1"/>
  </pageFields>
  <dataFields count="1">
    <dataField name="Somme de Impact Productivité par client" fld="18" baseField="3" baseItem="6" numFmtId="10"/>
  </dataFields>
  <formats count="1">
    <format dxfId="3">
      <pivotArea outline="0" collapsedLevelsAreSubtotals="1" fieldPosition="0"/>
    </format>
  </format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Tableau croisé dynamique1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A3:B15" firstHeaderRow="1" firstDataRow="1" firstDataCol="1" rowPageCount="1" colPageCount="1"/>
  <pivotFields count="23"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10"/>
        <item x="9"/>
        <item t="default"/>
      </items>
    </pivotField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3"/>
  </rowFields>
  <rowItems count="12">
    <i>
      <x/>
    </i>
    <i r="1">
      <x v="5"/>
    </i>
    <i r="1">
      <x v="6"/>
    </i>
    <i r="1">
      <x v="7"/>
    </i>
    <i r="1">
      <x v="8"/>
    </i>
    <i r="1">
      <x v="10"/>
    </i>
    <i>
      <x v="1"/>
    </i>
    <i r="1">
      <x v="6"/>
    </i>
    <i r="1">
      <x v="7"/>
    </i>
    <i r="1">
      <x v="8"/>
    </i>
    <i r="1">
      <x v="10"/>
    </i>
    <i t="grand">
      <x/>
    </i>
  </rowItems>
  <colItems count="1">
    <i/>
  </colItems>
  <pageFields count="1">
    <pageField fld="5" hier="-1"/>
  </pageFields>
  <dataFields count="1">
    <dataField name="Somme de Durée en :H" fld="15" baseField="0" baseItem="0" numFmtId="1"/>
  </dataFields>
  <formats count="1"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Tableau croisé dynamique1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A5:D19" firstHeaderRow="1" firstDataRow="2" firstDataCol="1" rowPageCount="2" colPageCount="1"/>
  <pivotFields count="23">
    <pivotField axis="axisPage" multipleItemSelectionAllowed="1" showAll="0">
      <items count="4">
        <item x="1"/>
        <item h="1" x="0"/>
        <item h="1" x="2"/>
        <item t="default"/>
      </items>
    </pivotField>
    <pivotField axis="axisCol" showAll="0">
      <items count="5">
        <item x="2"/>
        <item x="1"/>
        <item x="0"/>
        <item x="3"/>
        <item t="default"/>
      </items>
    </pivotField>
    <pivotField showAll="0"/>
    <pivotField axis="axisRow" showAll="0">
      <items count="12">
        <item h="1" x="0"/>
        <item h="1" x="1"/>
        <item h="1" x="2"/>
        <item h="1" x="3"/>
        <item h="1" x="4"/>
        <item h="1" x="5"/>
        <item h="1" x="6"/>
        <item x="7"/>
        <item x="8"/>
        <item h="1" x="10"/>
        <item h="1" x="9"/>
        <item t="default"/>
      </items>
    </pivotField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12">
        <item x="5"/>
        <item x="3"/>
        <item x="1"/>
        <item x="4"/>
        <item x="0"/>
        <item x="2"/>
        <item m="1" x="9"/>
        <item x="8"/>
        <item m="1" x="10"/>
        <item x="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2">
    <field x="3"/>
    <field x="21"/>
  </rowFields>
  <rowItems count="13">
    <i>
      <x v="7"/>
    </i>
    <i r="1">
      <x v="2"/>
    </i>
    <i r="1">
      <x v="4"/>
    </i>
    <i r="1">
      <x v="5"/>
    </i>
    <i r="1">
      <x/>
    </i>
    <i>
      <x v="8"/>
    </i>
    <i r="1">
      <x v="2"/>
    </i>
    <i r="1">
      <x v="4"/>
    </i>
    <i r="1">
      <x v="1"/>
    </i>
    <i r="1">
      <x v="10"/>
    </i>
    <i r="1">
      <x v="9"/>
    </i>
    <i r="1">
      <x v="5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5" hier="-1"/>
    <pageField fld="0" hier="-1"/>
  </pageFields>
  <dataFields count="1">
    <dataField name="Somme de Durée en :H" fld="15" baseField="0" baseItem="0" numFmtId="1"/>
  </dataFields>
  <formats count="1">
    <format dxfId="1">
      <pivotArea outline="0" collapsedLevelsAreSubtotals="1" fieldPosition="0"/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21" count="1" selected="0">
            <x v="4"/>
          </reference>
        </references>
      </pivotArea>
    </chartFormat>
    <chartFormat chart="3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21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3" format="14">
      <pivotArea type="data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8"/>
          </reference>
          <reference field="21" count="1" selected="0">
            <x v="4"/>
          </reference>
        </references>
      </pivotArea>
    </chartFormat>
    <chartFormat chart="3" format="15">
      <pivotArea type="data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8"/>
          </reference>
          <reference field="21" count="1" selected="0">
            <x v="2"/>
          </reference>
        </references>
      </pivotArea>
    </chartFormat>
    <chartFormat chart="3" format="16">
      <pivotArea type="data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8"/>
          </reference>
          <reference field="21" count="1" selected="0">
            <x v="4"/>
          </reference>
        </references>
      </pivotArea>
    </chartFormat>
    <chartFormat chart="3" format="17">
      <pivotArea type="data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8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4:D8" firstHeaderRow="1" firstDataRow="2" firstDataCol="1" rowPageCount="1" colPageCount="1"/>
  <pivotFields count="18">
    <pivotField axis="axisPage" compact="0" outline="0" multipleItemSelectionAllowed="1" showAll="0">
      <items count="4">
        <item h="1" x="1"/>
        <item x="0"/>
        <item m="1" x="2"/>
        <item t="default"/>
      </items>
    </pivotField>
    <pivotField compact="0" outline="0" showAll="0"/>
    <pivotField compact="0" outline="0" showAll="0"/>
    <pivotField axis="axisCol" compact="0" outline="0" multipleItemSelectionAllowed="1" showAll="0">
      <items count="11">
        <item h="1" x="0"/>
        <item h="1" x="1"/>
        <item h="1" x="2"/>
        <item h="1" x="3"/>
        <item h="1" x="4"/>
        <item h="1" x="5"/>
        <item h="1" x="6"/>
        <item x="7"/>
        <item x="8"/>
        <item m="1"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1"/>
        <item x="6"/>
        <item x="13"/>
        <item x="3"/>
        <item x="4"/>
        <item x="12"/>
        <item x="2"/>
        <item x="8"/>
        <item x="0"/>
        <item x="5"/>
        <item x="9"/>
        <item x="7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0"/>
  </rowFields>
  <rowItems count="3">
    <i>
      <x/>
    </i>
    <i>
      <x v="12"/>
    </i>
    <i t="grand">
      <x/>
    </i>
  </rowItems>
  <colFields count="1">
    <field x="3"/>
  </colFields>
  <colItems count="3">
    <i>
      <x v="7"/>
    </i>
    <i>
      <x v="8"/>
    </i>
    <i t="grand">
      <x/>
    </i>
  </colItems>
  <pageFields count="1">
    <pageField fld="0" hier="-1"/>
  </pageFields>
  <dataFields count="1">
    <dataField name="Somme de Durée en :H" fld="15" baseField="0" baseItem="0"/>
  </dataFields>
  <formats count="1">
    <format dxfId="0">
      <pivotArea outline="0" fieldPosition="0">
        <references count="3">
          <reference field="4294967294" count="1" selected="0">
            <x v="0"/>
          </reference>
          <reference field="3" count="5" selected="0">
            <x v="1"/>
            <x v="2"/>
            <x v="3"/>
            <x v="6"/>
            <x v="7"/>
          </reference>
          <reference field="10" count="6" selected="0">
            <x v="0"/>
            <x v="6"/>
            <x v="8"/>
            <x v="10"/>
            <x v="12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T189"/>
  <sheetViews>
    <sheetView tabSelected="1" topLeftCell="U1" zoomScale="85" zoomScaleNormal="85" workbookViewId="0">
      <pane ySplit="1" topLeftCell="A180" activePane="bottomLeft" state="frozen"/>
      <selection pane="bottomLeft" activeCell="U19" sqref="U19"/>
    </sheetView>
  </sheetViews>
  <sheetFormatPr defaultColWidth="11.42578125" defaultRowHeight="15"/>
  <cols>
    <col min="1" max="1" width="11.28515625" style="2" customWidth="1"/>
    <col min="2" max="2" width="9.7109375" style="2" customWidth="1"/>
    <col min="3" max="3" width="11" style="39" customWidth="1"/>
    <col min="4" max="5" width="11" style="34" customWidth="1"/>
    <col min="6" max="6" width="8" style="34" customWidth="1"/>
    <col min="7" max="7" width="12.85546875" style="2" customWidth="1"/>
    <col min="8" max="8" width="10.85546875" style="2" customWidth="1"/>
    <col min="9" max="9" width="15.42578125" style="2" customWidth="1"/>
    <col min="10" max="10" width="22.5703125" style="2" bestFit="1" customWidth="1"/>
    <col min="11" max="12" width="10.5703125" style="2" customWidth="1"/>
    <col min="13" max="13" width="24.5703125" style="2" customWidth="1"/>
    <col min="14" max="14" width="16.28515625" style="2" customWidth="1"/>
    <col min="15" max="15" width="9.7109375" style="2" customWidth="1"/>
    <col min="16" max="16" width="16.28515625" style="33" customWidth="1"/>
    <col min="17" max="17" width="16.28515625" style="2" customWidth="1"/>
    <col min="18" max="18" width="17.85546875" style="33" customWidth="1"/>
    <col min="19" max="19" width="16.28515625" style="38" customWidth="1"/>
    <col min="20" max="20" width="34.28515625" style="24" bestFit="1" customWidth="1"/>
    <col min="21" max="21" width="71.7109375" style="24" bestFit="1" customWidth="1"/>
    <col min="22" max="22" width="18.42578125" style="2" customWidth="1"/>
    <col min="23" max="23" width="16.28515625" style="2" customWidth="1"/>
    <col min="24" max="24" width="31.28515625" style="2" customWidth="1"/>
    <col min="25" max="16384" width="11.42578125" style="2"/>
  </cols>
  <sheetData>
    <row r="1" spans="1:25" s="35" customFormat="1" ht="47.25">
      <c r="A1" s="58" t="s">
        <v>0</v>
      </c>
      <c r="B1" s="58" t="s">
        <v>1</v>
      </c>
      <c r="C1" s="59" t="s">
        <v>2</v>
      </c>
      <c r="D1" s="60" t="s">
        <v>3</v>
      </c>
      <c r="E1" s="60" t="s">
        <v>4</v>
      </c>
      <c r="F1" s="60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58" t="s">
        <v>13</v>
      </c>
      <c r="O1" s="58" t="s">
        <v>14</v>
      </c>
      <c r="P1" s="62" t="s">
        <v>15</v>
      </c>
      <c r="Q1" s="58" t="s">
        <v>16</v>
      </c>
      <c r="R1" s="62" t="s">
        <v>17</v>
      </c>
      <c r="S1" s="62" t="s">
        <v>18</v>
      </c>
      <c r="T1" s="58" t="s">
        <v>19</v>
      </c>
      <c r="U1" s="58" t="s">
        <v>20</v>
      </c>
      <c r="V1" s="61" t="s">
        <v>21</v>
      </c>
      <c r="W1" s="101" t="s">
        <v>22</v>
      </c>
      <c r="X1" s="100" t="s">
        <v>23</v>
      </c>
      <c r="Y1" s="102"/>
    </row>
    <row r="2" spans="1:25" ht="30">
      <c r="A2" s="63" t="s">
        <v>24</v>
      </c>
      <c r="B2" s="63" t="s">
        <v>25</v>
      </c>
      <c r="C2" s="64">
        <v>45996</v>
      </c>
      <c r="D2" s="65" t="str">
        <f>YEAR(C2)&amp;"-S"&amp;WEEKNUM(C2)</f>
        <v>2025-S49</v>
      </c>
      <c r="E2" s="66" t="str">
        <f t="shared" ref="E2:E32" si="0">YEAR(C2)&amp;"-M"&amp;MONTH(C2)</f>
        <v>2025-M12</v>
      </c>
      <c r="F2" s="65">
        <f t="shared" ref="F2:F63" si="1">YEAR(C2)</f>
        <v>2025</v>
      </c>
      <c r="G2" s="63" t="s">
        <v>26</v>
      </c>
      <c r="H2" s="63" t="s">
        <v>27</v>
      </c>
      <c r="I2" s="63" t="s">
        <v>28</v>
      </c>
      <c r="J2" s="63" t="s">
        <v>29</v>
      </c>
      <c r="K2" s="63" t="s">
        <v>30</v>
      </c>
      <c r="L2" s="63" t="s">
        <v>30</v>
      </c>
      <c r="M2" s="67">
        <v>5001</v>
      </c>
      <c r="N2" s="68">
        <v>0.5</v>
      </c>
      <c r="O2" s="68">
        <v>0.75</v>
      </c>
      <c r="P2" s="69">
        <f>(O2-N2)*24</f>
        <v>6</v>
      </c>
      <c r="Q2" s="70">
        <v>1</v>
      </c>
      <c r="R2" s="71" t="str">
        <f t="shared" ref="R2:R33" si="2">Q2&amp;L2&amp;A2</f>
        <v>1ABBTEMARA</v>
      </c>
      <c r="S2" s="72">
        <f>IF(P2="","",P2/VLOOKUP(R2,'Matrice Productivité '!I:J,2,FALSE)/100)</f>
        <v>1.0455206131078223E-2</v>
      </c>
      <c r="T2" s="73" t="s">
        <v>31</v>
      </c>
      <c r="U2" s="73" t="s">
        <v>32</v>
      </c>
      <c r="V2" s="74" t="s">
        <v>33</v>
      </c>
      <c r="W2" s="63" t="s">
        <v>34</v>
      </c>
      <c r="X2" s="103"/>
    </row>
    <row r="3" spans="1:25" ht="30">
      <c r="A3" s="63" t="s">
        <v>24</v>
      </c>
      <c r="B3" s="63" t="s">
        <v>25</v>
      </c>
      <c r="C3" s="64">
        <v>45999</v>
      </c>
      <c r="D3" s="65" t="str">
        <f t="shared" ref="D3:D14" si="3">YEAR(C3)&amp;"-S"&amp;WEEKNUM(C3)</f>
        <v>2025-S50</v>
      </c>
      <c r="E3" s="66" t="str">
        <f t="shared" si="0"/>
        <v>2025-M12</v>
      </c>
      <c r="F3" s="65">
        <f t="shared" si="1"/>
        <v>2025</v>
      </c>
      <c r="G3" s="63" t="s">
        <v>26</v>
      </c>
      <c r="H3" s="63" t="s">
        <v>27</v>
      </c>
      <c r="I3" s="63" t="s">
        <v>28</v>
      </c>
      <c r="J3" s="63" t="s">
        <v>29</v>
      </c>
      <c r="K3" s="63" t="s">
        <v>30</v>
      </c>
      <c r="L3" s="63" t="s">
        <v>30</v>
      </c>
      <c r="M3" s="67">
        <v>5012</v>
      </c>
      <c r="N3" s="68">
        <v>0.35416666666666607</v>
      </c>
      <c r="O3" s="68">
        <v>0.6875</v>
      </c>
      <c r="P3" s="69">
        <f t="shared" ref="P3:P66" si="4">(O3-N3)*24</f>
        <v>8.0000000000000142</v>
      </c>
      <c r="Q3" s="70">
        <v>1</v>
      </c>
      <c r="R3" s="71" t="str">
        <f t="shared" si="2"/>
        <v>1ABBTEMARA</v>
      </c>
      <c r="S3" s="72">
        <f>IF(P3="","",P3/VLOOKUP(R3,'Matrice Productivité '!I:J,2,FALSE)/100)</f>
        <v>1.3940274841437656E-2</v>
      </c>
      <c r="T3" s="73" t="s">
        <v>35</v>
      </c>
      <c r="U3" s="73" t="s">
        <v>36</v>
      </c>
      <c r="V3" s="74" t="s">
        <v>33</v>
      </c>
      <c r="W3" s="63" t="s">
        <v>34</v>
      </c>
    </row>
    <row r="4" spans="1:25" ht="45">
      <c r="A4" s="63" t="s">
        <v>24</v>
      </c>
      <c r="B4" s="63" t="s">
        <v>25</v>
      </c>
      <c r="C4" s="64">
        <v>46002</v>
      </c>
      <c r="D4" s="65" t="str">
        <f t="shared" si="3"/>
        <v>2025-S50</v>
      </c>
      <c r="E4" s="66" t="str">
        <f t="shared" si="0"/>
        <v>2025-M12</v>
      </c>
      <c r="F4" s="65">
        <f t="shared" si="1"/>
        <v>2025</v>
      </c>
      <c r="G4" s="63" t="s">
        <v>37</v>
      </c>
      <c r="H4" s="63" t="s">
        <v>27</v>
      </c>
      <c r="I4" s="63" t="s">
        <v>38</v>
      </c>
      <c r="J4" s="63" t="s">
        <v>39</v>
      </c>
      <c r="K4" s="63" t="s">
        <v>40</v>
      </c>
      <c r="L4" s="63" t="s">
        <v>40</v>
      </c>
      <c r="M4" s="67" t="s">
        <v>41</v>
      </c>
      <c r="N4" s="68">
        <v>0.41666666666666607</v>
      </c>
      <c r="O4" s="68">
        <v>0.625</v>
      </c>
      <c r="P4" s="69">
        <f t="shared" si="4"/>
        <v>5.0000000000000142</v>
      </c>
      <c r="Q4" s="70">
        <v>1</v>
      </c>
      <c r="R4" s="71" t="str">
        <f t="shared" si="2"/>
        <v>1LECLANCHÉTEMARA</v>
      </c>
      <c r="S4" s="72">
        <f>IF(P4="","",P4/VLOOKUP(R4,'Matrice Productivité '!I:J,2,FALSE)/100)</f>
        <v>4.1592590812992627E-3</v>
      </c>
      <c r="T4" s="73" t="s">
        <v>42</v>
      </c>
      <c r="U4" s="73" t="s">
        <v>43</v>
      </c>
      <c r="V4" s="74" t="s">
        <v>33</v>
      </c>
      <c r="W4" s="63" t="s">
        <v>34</v>
      </c>
    </row>
    <row r="5" spans="1:25" ht="30">
      <c r="A5" s="63" t="s">
        <v>24</v>
      </c>
      <c r="B5" s="63" t="s">
        <v>25</v>
      </c>
      <c r="C5" s="64">
        <v>46003</v>
      </c>
      <c r="D5" s="65" t="str">
        <f t="shared" si="3"/>
        <v>2025-S50</v>
      </c>
      <c r="E5" s="66" t="str">
        <f t="shared" si="0"/>
        <v>2025-M12</v>
      </c>
      <c r="F5" s="65">
        <f t="shared" si="1"/>
        <v>2025</v>
      </c>
      <c r="G5" s="63" t="s">
        <v>26</v>
      </c>
      <c r="H5" s="63" t="s">
        <v>27</v>
      </c>
      <c r="I5" s="63" t="s">
        <v>28</v>
      </c>
      <c r="J5" s="63" t="s">
        <v>29</v>
      </c>
      <c r="K5" s="63" t="s">
        <v>30</v>
      </c>
      <c r="L5" s="63" t="s">
        <v>30</v>
      </c>
      <c r="M5" s="67">
        <v>5012</v>
      </c>
      <c r="N5" s="68">
        <v>0.45833333333333393</v>
      </c>
      <c r="O5" s="68">
        <v>0.5</v>
      </c>
      <c r="P5" s="69">
        <f t="shared" si="4"/>
        <v>0.99999999999998579</v>
      </c>
      <c r="Q5" s="70">
        <v>1</v>
      </c>
      <c r="R5" s="71" t="str">
        <f t="shared" si="2"/>
        <v>1ABBTEMARA</v>
      </c>
      <c r="S5" s="72">
        <f>IF(P5="","",P5/VLOOKUP(R5,'Matrice Productivité '!I:J,2,FALSE)/100)</f>
        <v>1.7425343551796793E-3</v>
      </c>
      <c r="T5" s="73" t="s">
        <v>35</v>
      </c>
      <c r="U5" s="73" t="s">
        <v>36</v>
      </c>
      <c r="V5" s="74" t="s">
        <v>33</v>
      </c>
      <c r="W5" s="63" t="s">
        <v>34</v>
      </c>
    </row>
    <row r="6" spans="1:25" ht="45">
      <c r="A6" s="63" t="s">
        <v>24</v>
      </c>
      <c r="B6" s="63" t="s">
        <v>25</v>
      </c>
      <c r="C6" s="64">
        <v>46006</v>
      </c>
      <c r="D6" s="65" t="str">
        <f t="shared" si="3"/>
        <v>2025-S51</v>
      </c>
      <c r="E6" s="66" t="str">
        <f t="shared" si="0"/>
        <v>2025-M12</v>
      </c>
      <c r="F6" s="65">
        <f t="shared" si="1"/>
        <v>2025</v>
      </c>
      <c r="G6" s="63" t="s">
        <v>44</v>
      </c>
      <c r="H6" s="63" t="s">
        <v>27</v>
      </c>
      <c r="I6" s="63" t="s">
        <v>45</v>
      </c>
      <c r="J6" s="63" t="s">
        <v>46</v>
      </c>
      <c r="K6" s="63" t="s">
        <v>47</v>
      </c>
      <c r="L6" s="63" t="s">
        <v>48</v>
      </c>
      <c r="M6" s="67" t="s">
        <v>49</v>
      </c>
      <c r="N6" s="68">
        <v>0.51388888888888928</v>
      </c>
      <c r="O6" s="68">
        <v>0.72916666666666607</v>
      </c>
      <c r="P6" s="69">
        <f t="shared" si="4"/>
        <v>5.166666666666643</v>
      </c>
      <c r="Q6" s="70">
        <v>1</v>
      </c>
      <c r="R6" s="71" t="str">
        <f t="shared" si="2"/>
        <v>1LE RESTETEMARA</v>
      </c>
      <c r="S6" s="72">
        <f>IF(P6="","",P6/VLOOKUP(R6,'Matrice Productivité '!I:J,2,FALSE)/100)</f>
        <v>1.1202471330642526E-2</v>
      </c>
      <c r="T6" s="73" t="s">
        <v>50</v>
      </c>
      <c r="U6" s="73" t="s">
        <v>51</v>
      </c>
      <c r="V6" s="63" t="s">
        <v>52</v>
      </c>
      <c r="W6" s="63" t="s">
        <v>53</v>
      </c>
    </row>
    <row r="7" spans="1:25" ht="30">
      <c r="A7" s="63" t="s">
        <v>24</v>
      </c>
      <c r="B7" s="63" t="s">
        <v>25</v>
      </c>
      <c r="C7" s="64">
        <v>46007</v>
      </c>
      <c r="D7" s="65" t="str">
        <f t="shared" si="3"/>
        <v>2025-S51</v>
      </c>
      <c r="E7" s="66" t="str">
        <f t="shared" si="0"/>
        <v>2025-M12</v>
      </c>
      <c r="F7" s="65">
        <f t="shared" si="1"/>
        <v>2025</v>
      </c>
      <c r="G7" s="63" t="s">
        <v>26</v>
      </c>
      <c r="H7" s="63" t="s">
        <v>27</v>
      </c>
      <c r="I7" s="63" t="s">
        <v>28</v>
      </c>
      <c r="J7" s="63" t="s">
        <v>29</v>
      </c>
      <c r="K7" s="63" t="s">
        <v>30</v>
      </c>
      <c r="L7" s="63" t="s">
        <v>30</v>
      </c>
      <c r="M7" s="67">
        <v>5005</v>
      </c>
      <c r="N7" s="68">
        <v>0.38541666666666607</v>
      </c>
      <c r="O7" s="68">
        <v>0.42708333333333393</v>
      </c>
      <c r="P7" s="69">
        <f t="shared" si="4"/>
        <v>1.0000000000000284</v>
      </c>
      <c r="Q7" s="70">
        <v>1</v>
      </c>
      <c r="R7" s="71" t="str">
        <f t="shared" si="2"/>
        <v>1ABBTEMARA</v>
      </c>
      <c r="S7" s="72">
        <f>IF(P7="","",P7/VLOOKUP(R7,'Matrice Productivité '!I:J,2,FALSE)/100)</f>
        <v>1.7425343551797535E-3</v>
      </c>
      <c r="T7" s="73" t="s">
        <v>504</v>
      </c>
      <c r="U7" s="73" t="s">
        <v>54</v>
      </c>
      <c r="V7" s="74" t="s">
        <v>33</v>
      </c>
      <c r="W7" s="63" t="s">
        <v>34</v>
      </c>
    </row>
    <row r="8" spans="1:25" ht="32.25" customHeight="1">
      <c r="A8" s="63" t="s">
        <v>24</v>
      </c>
      <c r="B8" s="63" t="s">
        <v>25</v>
      </c>
      <c r="C8" s="64">
        <v>46009</v>
      </c>
      <c r="D8" s="65" t="str">
        <f t="shared" si="3"/>
        <v>2025-S51</v>
      </c>
      <c r="E8" s="66" t="str">
        <f t="shared" si="0"/>
        <v>2025-M12</v>
      </c>
      <c r="F8" s="65">
        <f t="shared" si="1"/>
        <v>2025</v>
      </c>
      <c r="G8" s="63" t="s">
        <v>44</v>
      </c>
      <c r="H8" s="63" t="s">
        <v>27</v>
      </c>
      <c r="I8" s="63" t="s">
        <v>45</v>
      </c>
      <c r="J8" s="63" t="s">
        <v>46</v>
      </c>
      <c r="K8" s="63" t="s">
        <v>47</v>
      </c>
      <c r="L8" s="2" t="s">
        <v>48</v>
      </c>
      <c r="M8" s="67" t="s">
        <v>49</v>
      </c>
      <c r="N8" s="68">
        <v>0.375</v>
      </c>
      <c r="O8" s="68">
        <v>0.45833333333333393</v>
      </c>
      <c r="P8" s="69">
        <f t="shared" si="4"/>
        <v>2.0000000000000142</v>
      </c>
      <c r="Q8" s="70">
        <v>1</v>
      </c>
      <c r="R8" s="71" t="str">
        <f t="shared" si="2"/>
        <v>1LE RESTETEMARA</v>
      </c>
      <c r="S8" s="72">
        <f>IF(P8="","",P8/VLOOKUP(R8,'Matrice Productivité '!I:J,2,FALSE)/100)</f>
        <v>4.33644051508748E-3</v>
      </c>
      <c r="T8" s="73" t="s">
        <v>50</v>
      </c>
      <c r="U8" s="73" t="s">
        <v>51</v>
      </c>
      <c r="V8" s="63" t="s">
        <v>52</v>
      </c>
      <c r="W8" s="63" t="s">
        <v>55</v>
      </c>
    </row>
    <row r="9" spans="1:25" ht="30">
      <c r="A9" s="63" t="s">
        <v>24</v>
      </c>
      <c r="B9" s="63" t="s">
        <v>25</v>
      </c>
      <c r="C9" s="64">
        <v>46010</v>
      </c>
      <c r="D9" s="65" t="str">
        <f t="shared" si="3"/>
        <v>2025-S51</v>
      </c>
      <c r="E9" s="66" t="str">
        <f t="shared" si="0"/>
        <v>2025-M12</v>
      </c>
      <c r="F9" s="65">
        <f t="shared" si="1"/>
        <v>2025</v>
      </c>
      <c r="G9" s="63" t="s">
        <v>26</v>
      </c>
      <c r="H9" s="63" t="s">
        <v>27</v>
      </c>
      <c r="I9" s="63" t="s">
        <v>45</v>
      </c>
      <c r="J9" s="63" t="s">
        <v>56</v>
      </c>
      <c r="K9" s="63" t="s">
        <v>30</v>
      </c>
      <c r="L9" s="63" t="s">
        <v>30</v>
      </c>
      <c r="M9" s="67">
        <v>5018</v>
      </c>
      <c r="N9" s="68">
        <v>0.42013888888888928</v>
      </c>
      <c r="O9" s="68">
        <v>0.66666666666666607</v>
      </c>
      <c r="P9" s="69">
        <f t="shared" si="4"/>
        <v>5.916666666666643</v>
      </c>
      <c r="Q9" s="70">
        <v>1</v>
      </c>
      <c r="R9" s="71" t="str">
        <f t="shared" si="2"/>
        <v>1ABBTEMARA</v>
      </c>
      <c r="S9" s="72">
        <f>IF(P9="","",P9/VLOOKUP(R9,'Matrice Productivité '!I:J,2,FALSE)/100)</f>
        <v>1.0309994934813207E-2</v>
      </c>
      <c r="T9" s="73" t="s">
        <v>57</v>
      </c>
      <c r="U9" s="73" t="s">
        <v>58</v>
      </c>
      <c r="V9" s="74" t="s">
        <v>59</v>
      </c>
      <c r="W9" s="63" t="s">
        <v>60</v>
      </c>
    </row>
    <row r="10" spans="1:25" s="36" customFormat="1" ht="30">
      <c r="A10" s="63" t="s">
        <v>24</v>
      </c>
      <c r="B10" s="63" t="s">
        <v>25</v>
      </c>
      <c r="C10" s="64">
        <v>46013</v>
      </c>
      <c r="D10" s="65" t="str">
        <f t="shared" si="3"/>
        <v>2025-S52</v>
      </c>
      <c r="E10" s="66" t="str">
        <f t="shared" si="0"/>
        <v>2025-M12</v>
      </c>
      <c r="F10" s="65">
        <f t="shared" si="1"/>
        <v>2025</v>
      </c>
      <c r="G10" s="63" t="s">
        <v>26</v>
      </c>
      <c r="H10" s="63" t="s">
        <v>27</v>
      </c>
      <c r="I10" s="63" t="s">
        <v>28</v>
      </c>
      <c r="J10" s="63" t="s">
        <v>29</v>
      </c>
      <c r="K10" s="63" t="s">
        <v>30</v>
      </c>
      <c r="L10" s="63" t="s">
        <v>30</v>
      </c>
      <c r="M10" s="67">
        <v>5036</v>
      </c>
      <c r="N10" s="68">
        <v>0.63194444444444464</v>
      </c>
      <c r="O10" s="68">
        <v>0.65486111111111178</v>
      </c>
      <c r="P10" s="69">
        <f t="shared" si="4"/>
        <v>0.55000000000001137</v>
      </c>
      <c r="Q10" s="70">
        <v>1</v>
      </c>
      <c r="R10" s="71" t="str">
        <f t="shared" si="2"/>
        <v>1ABBTEMARA</v>
      </c>
      <c r="S10" s="72">
        <f>IF(P10="","",P10/VLOOKUP(R10,'Matrice Productivité '!I:J,2,FALSE)/100)</f>
        <v>9.58393895348857E-4</v>
      </c>
      <c r="T10" s="73" t="s">
        <v>504</v>
      </c>
      <c r="U10" s="73" t="s">
        <v>61</v>
      </c>
      <c r="V10" s="74" t="s">
        <v>33</v>
      </c>
      <c r="W10" s="63" t="s">
        <v>34</v>
      </c>
    </row>
    <row r="11" spans="1:25" s="36" customFormat="1" ht="30">
      <c r="A11" s="63" t="s">
        <v>24</v>
      </c>
      <c r="B11" s="63" t="s">
        <v>25</v>
      </c>
      <c r="C11" s="64">
        <v>46013</v>
      </c>
      <c r="D11" s="65" t="str">
        <f t="shared" si="3"/>
        <v>2025-S52</v>
      </c>
      <c r="E11" s="66" t="str">
        <f t="shared" si="0"/>
        <v>2025-M12</v>
      </c>
      <c r="F11" s="65">
        <f t="shared" si="1"/>
        <v>2025</v>
      </c>
      <c r="G11" s="63" t="s">
        <v>26</v>
      </c>
      <c r="H11" s="63" t="s">
        <v>27</v>
      </c>
      <c r="I11" s="63" t="s">
        <v>62</v>
      </c>
      <c r="J11" s="63" t="s">
        <v>63</v>
      </c>
      <c r="K11" s="63" t="s">
        <v>30</v>
      </c>
      <c r="L11" s="63" t="s">
        <v>30</v>
      </c>
      <c r="M11" s="67">
        <v>5040</v>
      </c>
      <c r="N11" s="68">
        <v>0.59027777777777857</v>
      </c>
      <c r="O11" s="68">
        <v>0.65277777777777857</v>
      </c>
      <c r="P11" s="69">
        <f t="shared" si="4"/>
        <v>1.5</v>
      </c>
      <c r="Q11" s="70">
        <v>1</v>
      </c>
      <c r="R11" s="71" t="str">
        <f t="shared" si="2"/>
        <v>1ABBTEMARA</v>
      </c>
      <c r="S11" s="72">
        <f>IF(P11="","",P11/VLOOKUP(R11,'Matrice Productivité '!I:J,2,FALSE)/100)</f>
        <v>2.6138015327695557E-3</v>
      </c>
      <c r="T11" s="73" t="s">
        <v>64</v>
      </c>
      <c r="U11" s="73" t="s">
        <v>65</v>
      </c>
      <c r="V11" s="74" t="s">
        <v>33</v>
      </c>
      <c r="W11" s="63" t="s">
        <v>34</v>
      </c>
    </row>
    <row r="12" spans="1:25" s="36" customFormat="1" ht="30">
      <c r="A12" s="63" t="s">
        <v>24</v>
      </c>
      <c r="B12" s="63" t="s">
        <v>25</v>
      </c>
      <c r="C12" s="64">
        <v>46013</v>
      </c>
      <c r="D12" s="65" t="str">
        <f t="shared" si="3"/>
        <v>2025-S52</v>
      </c>
      <c r="E12" s="66" t="str">
        <f t="shared" si="0"/>
        <v>2025-M12</v>
      </c>
      <c r="F12" s="65">
        <f t="shared" si="1"/>
        <v>2025</v>
      </c>
      <c r="G12" s="63" t="s">
        <v>26</v>
      </c>
      <c r="H12" s="63" t="s">
        <v>27</v>
      </c>
      <c r="I12" s="63" t="s">
        <v>45</v>
      </c>
      <c r="J12" s="63" t="s">
        <v>56</v>
      </c>
      <c r="K12" s="63" t="s">
        <v>30</v>
      </c>
      <c r="L12" s="63" t="s">
        <v>30</v>
      </c>
      <c r="M12" s="67">
        <v>5058</v>
      </c>
      <c r="N12" s="68">
        <v>0.375</v>
      </c>
      <c r="O12" s="68">
        <v>0.75</v>
      </c>
      <c r="P12" s="69">
        <f t="shared" si="4"/>
        <v>9</v>
      </c>
      <c r="Q12" s="70">
        <v>1</v>
      </c>
      <c r="R12" s="71" t="str">
        <f t="shared" si="2"/>
        <v>1ABBTEMARA</v>
      </c>
      <c r="S12" s="72">
        <f>IF(P12="","",P12/VLOOKUP(R12,'Matrice Productivité '!I:J,2,FALSE)/100)</f>
        <v>1.5682809196617336E-2</v>
      </c>
      <c r="T12" s="73" t="s">
        <v>66</v>
      </c>
      <c r="U12" s="73" t="s">
        <v>67</v>
      </c>
      <c r="V12" s="74" t="s">
        <v>33</v>
      </c>
      <c r="W12" s="63" t="s">
        <v>68</v>
      </c>
    </row>
    <row r="13" spans="1:25" s="36" customFormat="1" ht="30">
      <c r="A13" s="63" t="s">
        <v>24</v>
      </c>
      <c r="B13" s="63" t="s">
        <v>25</v>
      </c>
      <c r="C13" s="64">
        <v>46014</v>
      </c>
      <c r="D13" s="65" t="str">
        <f t="shared" si="3"/>
        <v>2025-S52</v>
      </c>
      <c r="E13" s="66" t="str">
        <f t="shared" si="0"/>
        <v>2025-M12</v>
      </c>
      <c r="F13" s="65">
        <f t="shared" si="1"/>
        <v>2025</v>
      </c>
      <c r="G13" s="63" t="s">
        <v>26</v>
      </c>
      <c r="H13" s="63" t="s">
        <v>27</v>
      </c>
      <c r="I13" s="63" t="s">
        <v>45</v>
      </c>
      <c r="J13" s="63" t="s">
        <v>56</v>
      </c>
      <c r="K13" s="63" t="s">
        <v>30</v>
      </c>
      <c r="L13" s="63" t="s">
        <v>30</v>
      </c>
      <c r="M13" s="67">
        <v>5012</v>
      </c>
      <c r="N13" s="68">
        <v>0.375</v>
      </c>
      <c r="O13" s="68">
        <v>0.75</v>
      </c>
      <c r="P13" s="69">
        <f t="shared" si="4"/>
        <v>9</v>
      </c>
      <c r="Q13" s="70">
        <v>1</v>
      </c>
      <c r="R13" s="71" t="str">
        <f t="shared" si="2"/>
        <v>1ABBTEMARA</v>
      </c>
      <c r="S13" s="72">
        <f>IF(P13="","",P13/VLOOKUP(R13,'Matrice Productivité '!I:J,2,FALSE)/100)</f>
        <v>1.5682809196617336E-2</v>
      </c>
      <c r="T13" s="73" t="s">
        <v>66</v>
      </c>
      <c r="U13" s="73" t="s">
        <v>67</v>
      </c>
      <c r="V13" s="74" t="s">
        <v>33</v>
      </c>
      <c r="W13" s="63" t="s">
        <v>68</v>
      </c>
    </row>
    <row r="14" spans="1:25" s="36" customFormat="1" ht="30">
      <c r="A14" s="63" t="s">
        <v>24</v>
      </c>
      <c r="B14" s="63" t="s">
        <v>25</v>
      </c>
      <c r="C14" s="64">
        <v>46014</v>
      </c>
      <c r="D14" s="65" t="str">
        <f t="shared" si="3"/>
        <v>2025-S52</v>
      </c>
      <c r="E14" s="66" t="str">
        <f t="shared" si="0"/>
        <v>2025-M12</v>
      </c>
      <c r="F14" s="65">
        <f t="shared" si="1"/>
        <v>2025</v>
      </c>
      <c r="G14" s="63" t="s">
        <v>26</v>
      </c>
      <c r="H14" s="63" t="s">
        <v>27</v>
      </c>
      <c r="I14" s="63" t="s">
        <v>62</v>
      </c>
      <c r="J14" s="63" t="s">
        <v>63</v>
      </c>
      <c r="K14" s="63" t="s">
        <v>30</v>
      </c>
      <c r="L14" s="63" t="s">
        <v>30</v>
      </c>
      <c r="M14" s="67">
        <v>5075</v>
      </c>
      <c r="N14" s="68">
        <v>0.35416666666666607</v>
      </c>
      <c r="O14" s="68">
        <v>0.52083333333333393</v>
      </c>
      <c r="P14" s="69">
        <f t="shared" si="4"/>
        <v>4.0000000000000284</v>
      </c>
      <c r="Q14" s="70">
        <v>1</v>
      </c>
      <c r="R14" s="71" t="str">
        <f t="shared" si="2"/>
        <v>1ABBTEMARA</v>
      </c>
      <c r="S14" s="72">
        <f>IF(P14="","",P14/VLOOKUP(R14,'Matrice Productivité '!I:J,2,FALSE)/100)</f>
        <v>6.9701374207188664E-3</v>
      </c>
      <c r="T14" s="73" t="s">
        <v>64</v>
      </c>
      <c r="U14" s="73" t="s">
        <v>65</v>
      </c>
      <c r="V14" s="74" t="s">
        <v>33</v>
      </c>
      <c r="W14" s="63" t="s">
        <v>34</v>
      </c>
    </row>
    <row r="15" spans="1:25" ht="90">
      <c r="A15" s="63" t="s">
        <v>69</v>
      </c>
      <c r="B15" s="63" t="s">
        <v>70</v>
      </c>
      <c r="C15" s="64">
        <v>46014</v>
      </c>
      <c r="D15" s="65" t="str">
        <f t="shared" ref="D15:D75" si="5">YEAR(C15)&amp;"-S"&amp;WEEKNUM(C15)</f>
        <v>2025-S52</v>
      </c>
      <c r="E15" s="66" t="str">
        <f t="shared" si="0"/>
        <v>2025-M12</v>
      </c>
      <c r="F15" s="65">
        <f t="shared" si="1"/>
        <v>2025</v>
      </c>
      <c r="G15" s="63" t="s">
        <v>71</v>
      </c>
      <c r="H15" s="63" t="s">
        <v>72</v>
      </c>
      <c r="I15" s="63" t="s">
        <v>73</v>
      </c>
      <c r="J15" s="63" t="s">
        <v>74</v>
      </c>
      <c r="K15" s="63" t="s">
        <v>75</v>
      </c>
      <c r="L15" s="63" t="s">
        <v>75</v>
      </c>
      <c r="M15" s="63" t="s">
        <v>76</v>
      </c>
      <c r="N15" s="68">
        <v>0.53472222222222221</v>
      </c>
      <c r="O15" s="68">
        <v>0.58333333333333337</v>
      </c>
      <c r="P15" s="69">
        <f t="shared" si="4"/>
        <v>1.1666666666666679</v>
      </c>
      <c r="Q15" s="70">
        <v>3</v>
      </c>
      <c r="R15" s="71" t="str">
        <f t="shared" si="2"/>
        <v>3EDMIBERRECHID</v>
      </c>
      <c r="S15" s="72">
        <f>IF(P15="","",P15/VLOOKUP(R15,'Matrice Productivité '!I:J,2,FALSE)/100)</f>
        <v>9.0392561983471164E-4</v>
      </c>
      <c r="T15" s="75" t="s">
        <v>77</v>
      </c>
      <c r="U15" s="75" t="s">
        <v>78</v>
      </c>
      <c r="V15" s="63" t="s">
        <v>52</v>
      </c>
      <c r="W15" s="63" t="s">
        <v>79</v>
      </c>
    </row>
    <row r="16" spans="1:25" ht="30">
      <c r="A16" s="63" t="s">
        <v>69</v>
      </c>
      <c r="B16" s="63" t="s">
        <v>70</v>
      </c>
      <c r="C16" s="64">
        <v>46015</v>
      </c>
      <c r="D16" s="65" t="str">
        <f t="shared" si="5"/>
        <v>2025-S52</v>
      </c>
      <c r="E16" s="66" t="str">
        <f t="shared" si="0"/>
        <v>2025-M12</v>
      </c>
      <c r="F16" s="65">
        <f t="shared" si="1"/>
        <v>2025</v>
      </c>
      <c r="G16" s="63" t="s">
        <v>71</v>
      </c>
      <c r="H16" s="63" t="s">
        <v>72</v>
      </c>
      <c r="I16" s="63" t="s">
        <v>73</v>
      </c>
      <c r="J16" s="63" t="s">
        <v>80</v>
      </c>
      <c r="K16" s="63" t="s">
        <v>75</v>
      </c>
      <c r="L16" s="63" t="s">
        <v>75</v>
      </c>
      <c r="M16" s="63" t="s">
        <v>76</v>
      </c>
      <c r="N16" s="68">
        <v>0.25</v>
      </c>
      <c r="O16" s="68">
        <v>0.27083333333333331</v>
      </c>
      <c r="P16" s="69">
        <f t="shared" si="4"/>
        <v>0.49999999999999956</v>
      </c>
      <c r="Q16" s="70">
        <v>3</v>
      </c>
      <c r="R16" s="71" t="str">
        <f t="shared" si="2"/>
        <v>3EDMIBERRECHID</v>
      </c>
      <c r="S16" s="72">
        <f>IF(P16="","",P16/VLOOKUP(R16,'Matrice Productivité '!I:J,2,FALSE)/100)</f>
        <v>3.8739669421487566E-4</v>
      </c>
      <c r="T16" s="75" t="s">
        <v>505</v>
      </c>
      <c r="U16" s="75" t="s">
        <v>81</v>
      </c>
      <c r="V16" s="63" t="s">
        <v>52</v>
      </c>
      <c r="W16" s="63" t="s">
        <v>82</v>
      </c>
    </row>
    <row r="17" spans="1:23" ht="30">
      <c r="A17" s="63" t="s">
        <v>69</v>
      </c>
      <c r="B17" s="63" t="s">
        <v>70</v>
      </c>
      <c r="C17" s="64">
        <v>46015</v>
      </c>
      <c r="D17" s="65" t="str">
        <f t="shared" si="5"/>
        <v>2025-S52</v>
      </c>
      <c r="E17" s="66" t="str">
        <f t="shared" si="0"/>
        <v>2025-M12</v>
      </c>
      <c r="F17" s="65">
        <f t="shared" si="1"/>
        <v>2025</v>
      </c>
      <c r="G17" s="63" t="s">
        <v>71</v>
      </c>
      <c r="H17" s="63" t="s">
        <v>72</v>
      </c>
      <c r="I17" s="63" t="s">
        <v>73</v>
      </c>
      <c r="J17" s="63" t="s">
        <v>74</v>
      </c>
      <c r="K17" s="63" t="s">
        <v>75</v>
      </c>
      <c r="L17" s="63" t="s">
        <v>75</v>
      </c>
      <c r="M17" s="63" t="s">
        <v>76</v>
      </c>
      <c r="N17" s="68">
        <v>0.33333333333333331</v>
      </c>
      <c r="O17" s="68">
        <v>0.375</v>
      </c>
      <c r="P17" s="69">
        <f t="shared" si="4"/>
        <v>1.0000000000000004</v>
      </c>
      <c r="Q17" s="70">
        <v>3</v>
      </c>
      <c r="R17" s="71" t="str">
        <f t="shared" si="2"/>
        <v>3EDMIBERRECHID</v>
      </c>
      <c r="S17" s="72">
        <f>IF(P17="","",P17/VLOOKUP(R17,'Matrice Productivité '!I:J,2,FALSE)/100)</f>
        <v>7.747933884297523E-4</v>
      </c>
      <c r="T17" s="75" t="s">
        <v>83</v>
      </c>
      <c r="U17" s="75" t="s">
        <v>84</v>
      </c>
      <c r="V17" s="63" t="s">
        <v>85</v>
      </c>
      <c r="W17" s="63" t="s">
        <v>86</v>
      </c>
    </row>
    <row r="18" spans="1:23" ht="30">
      <c r="A18" s="63" t="s">
        <v>69</v>
      </c>
      <c r="B18" s="63" t="s">
        <v>70</v>
      </c>
      <c r="C18" s="64">
        <v>46015</v>
      </c>
      <c r="D18" s="65" t="str">
        <f t="shared" si="5"/>
        <v>2025-S52</v>
      </c>
      <c r="E18" s="66" t="str">
        <f t="shared" si="0"/>
        <v>2025-M12</v>
      </c>
      <c r="F18" s="65">
        <f t="shared" si="1"/>
        <v>2025</v>
      </c>
      <c r="G18" s="63" t="s">
        <v>71</v>
      </c>
      <c r="H18" s="63" t="s">
        <v>72</v>
      </c>
      <c r="I18" s="63" t="s">
        <v>73</v>
      </c>
      <c r="J18" s="63" t="s">
        <v>87</v>
      </c>
      <c r="K18" s="63" t="s">
        <v>75</v>
      </c>
      <c r="L18" s="63" t="s">
        <v>75</v>
      </c>
      <c r="M18" s="63" t="s">
        <v>76</v>
      </c>
      <c r="N18" s="68">
        <v>0.46875</v>
      </c>
      <c r="O18" s="68">
        <v>0.4826388888888889</v>
      </c>
      <c r="P18" s="69">
        <f t="shared" si="4"/>
        <v>0.33333333333333348</v>
      </c>
      <c r="Q18" s="70">
        <v>3</v>
      </c>
      <c r="R18" s="71" t="str">
        <f t="shared" si="2"/>
        <v>3EDMIBERRECHID</v>
      </c>
      <c r="S18" s="72">
        <f>IF(P18="","",P18/VLOOKUP(R18,'Matrice Productivité '!I:J,2,FALSE)/100)</f>
        <v>2.5826446280991742E-4</v>
      </c>
      <c r="T18" s="75" t="s">
        <v>88</v>
      </c>
      <c r="U18" s="75" t="s">
        <v>89</v>
      </c>
      <c r="V18" s="74" t="s">
        <v>90</v>
      </c>
      <c r="W18" s="63" t="s">
        <v>91</v>
      </c>
    </row>
    <row r="19" spans="1:23" ht="30">
      <c r="A19" s="63" t="s">
        <v>69</v>
      </c>
      <c r="B19" s="63" t="s">
        <v>70</v>
      </c>
      <c r="C19" s="64">
        <v>46015</v>
      </c>
      <c r="D19" s="65" t="str">
        <f t="shared" si="5"/>
        <v>2025-S52</v>
      </c>
      <c r="E19" s="66" t="str">
        <f t="shared" si="0"/>
        <v>2025-M12</v>
      </c>
      <c r="F19" s="65">
        <f t="shared" si="1"/>
        <v>2025</v>
      </c>
      <c r="G19" s="63" t="s">
        <v>71</v>
      </c>
      <c r="H19" s="63" t="s">
        <v>72</v>
      </c>
      <c r="I19" s="63" t="s">
        <v>92</v>
      </c>
      <c r="J19" s="63" t="s">
        <v>93</v>
      </c>
      <c r="K19" s="63" t="s">
        <v>75</v>
      </c>
      <c r="L19" s="63" t="s">
        <v>75</v>
      </c>
      <c r="M19" s="63" t="s">
        <v>94</v>
      </c>
      <c r="N19" s="68">
        <v>0.47222222222222221</v>
      </c>
      <c r="O19" s="68">
        <v>0.5</v>
      </c>
      <c r="P19" s="69">
        <f t="shared" si="4"/>
        <v>0.66666666666666696</v>
      </c>
      <c r="Q19" s="70">
        <v>3</v>
      </c>
      <c r="R19" s="71" t="str">
        <f t="shared" si="2"/>
        <v>3EDMIBERRECHID</v>
      </c>
      <c r="S19" s="72">
        <f>IF(P19="","",P19/VLOOKUP(R19,'Matrice Productivité '!I:J,2,FALSE)/100)</f>
        <v>5.1652892561983483E-4</v>
      </c>
      <c r="T19" s="75" t="s">
        <v>95</v>
      </c>
      <c r="U19" s="75" t="s">
        <v>96</v>
      </c>
      <c r="V19" s="63" t="s">
        <v>52</v>
      </c>
      <c r="W19" s="63" t="s">
        <v>97</v>
      </c>
    </row>
    <row r="20" spans="1:23" ht="30">
      <c r="A20" s="63" t="s">
        <v>69</v>
      </c>
      <c r="B20" s="63" t="s">
        <v>70</v>
      </c>
      <c r="C20" s="64">
        <v>46015</v>
      </c>
      <c r="D20" s="65" t="str">
        <f t="shared" si="5"/>
        <v>2025-S52</v>
      </c>
      <c r="E20" s="66" t="str">
        <f t="shared" si="0"/>
        <v>2025-M12</v>
      </c>
      <c r="F20" s="65">
        <f t="shared" si="1"/>
        <v>2025</v>
      </c>
      <c r="G20" s="63" t="s">
        <v>98</v>
      </c>
      <c r="H20" s="63" t="s">
        <v>99</v>
      </c>
      <c r="I20" s="2" t="s">
        <v>100</v>
      </c>
      <c r="J20" s="2" t="s">
        <v>101</v>
      </c>
      <c r="K20" s="63" t="s">
        <v>75</v>
      </c>
      <c r="L20" s="63" t="s">
        <v>75</v>
      </c>
      <c r="M20" s="63" t="s">
        <v>76</v>
      </c>
      <c r="N20" s="68">
        <v>0.86458333333333337</v>
      </c>
      <c r="O20" s="68">
        <v>0.89583333333333337</v>
      </c>
      <c r="P20" s="69">
        <f t="shared" si="4"/>
        <v>0.75</v>
      </c>
      <c r="Q20" s="70">
        <v>3</v>
      </c>
      <c r="R20" s="71" t="str">
        <f t="shared" si="2"/>
        <v>3EDMIBERRECHID</v>
      </c>
      <c r="S20" s="72">
        <f>IF(P20="","",P20/VLOOKUP(R20,'Matrice Productivité '!I:J,2,FALSE)/100)</f>
        <v>5.8109504132231396E-4</v>
      </c>
      <c r="T20" s="75" t="s">
        <v>102</v>
      </c>
      <c r="U20" s="75" t="s">
        <v>103</v>
      </c>
      <c r="V20" s="63" t="s">
        <v>52</v>
      </c>
      <c r="W20" s="63" t="s">
        <v>104</v>
      </c>
    </row>
    <row r="21" spans="1:23" ht="30">
      <c r="A21" s="63" t="s">
        <v>69</v>
      </c>
      <c r="B21" s="63" t="s">
        <v>105</v>
      </c>
      <c r="C21" s="64">
        <v>46015</v>
      </c>
      <c r="D21" s="65" t="str">
        <f t="shared" si="5"/>
        <v>2025-S52</v>
      </c>
      <c r="E21" s="66" t="str">
        <f t="shared" si="0"/>
        <v>2025-M12</v>
      </c>
      <c r="F21" s="65">
        <f t="shared" si="1"/>
        <v>2025</v>
      </c>
      <c r="G21" s="63" t="s">
        <v>106</v>
      </c>
      <c r="H21" s="63" t="s">
        <v>99</v>
      </c>
      <c r="I21" s="63" t="s">
        <v>45</v>
      </c>
      <c r="J21" s="63" t="s">
        <v>107</v>
      </c>
      <c r="K21" s="63" t="s">
        <v>108</v>
      </c>
      <c r="L21" s="63" t="s">
        <v>108</v>
      </c>
      <c r="M21" s="63" t="s">
        <v>109</v>
      </c>
      <c r="N21" s="68">
        <v>0.66666666666666663</v>
      </c>
      <c r="O21" s="68">
        <v>0.6875</v>
      </c>
      <c r="P21" s="69">
        <f t="shared" si="4"/>
        <v>0.50000000000000089</v>
      </c>
      <c r="Q21" s="70">
        <v>2</v>
      </c>
      <c r="R21" s="71" t="str">
        <f t="shared" si="2"/>
        <v>2EMSBERRECHID</v>
      </c>
      <c r="S21" s="72">
        <f>IF(P21="","",P21/VLOOKUP(R21,'Matrice Productivité '!I:J,2,FALSE)/100)</f>
        <v>9.2975206611570419E-5</v>
      </c>
      <c r="T21" s="75" t="s">
        <v>110</v>
      </c>
      <c r="U21" s="75" t="s">
        <v>111</v>
      </c>
      <c r="V21" s="74" t="s">
        <v>33</v>
      </c>
      <c r="W21" s="63" t="s">
        <v>112</v>
      </c>
    </row>
    <row r="22" spans="1:23" ht="60">
      <c r="A22" s="63" t="s">
        <v>69</v>
      </c>
      <c r="B22" s="63" t="s">
        <v>105</v>
      </c>
      <c r="C22" s="64">
        <v>46015</v>
      </c>
      <c r="D22" s="65" t="str">
        <f t="shared" si="5"/>
        <v>2025-S52</v>
      </c>
      <c r="E22" s="66" t="str">
        <f t="shared" si="0"/>
        <v>2025-M12</v>
      </c>
      <c r="F22" s="65">
        <f t="shared" si="1"/>
        <v>2025</v>
      </c>
      <c r="G22" s="63" t="s">
        <v>106</v>
      </c>
      <c r="H22" s="63" t="s">
        <v>99</v>
      </c>
      <c r="I22" s="63" t="s">
        <v>45</v>
      </c>
      <c r="J22" s="63" t="s">
        <v>107</v>
      </c>
      <c r="K22" s="63" t="s">
        <v>108</v>
      </c>
      <c r="L22" s="63" t="s">
        <v>108</v>
      </c>
      <c r="M22" s="63" t="s">
        <v>113</v>
      </c>
      <c r="N22" s="68">
        <v>0.83333333333333337</v>
      </c>
      <c r="O22" s="68">
        <v>0.86111111111111116</v>
      </c>
      <c r="P22" s="69">
        <f t="shared" si="4"/>
        <v>0.66666666666666696</v>
      </c>
      <c r="Q22" s="70">
        <v>2</v>
      </c>
      <c r="R22" s="71" t="str">
        <f t="shared" si="2"/>
        <v>2EMSBERRECHID</v>
      </c>
      <c r="S22" s="72">
        <f>IF(P22="","",P22/VLOOKUP(R22,'Matrice Productivité '!I:J,2,FALSE)/100)</f>
        <v>1.2396694214876041E-4</v>
      </c>
      <c r="T22" s="75" t="s">
        <v>114</v>
      </c>
      <c r="U22" s="75" t="s">
        <v>115</v>
      </c>
      <c r="V22" s="74" t="s">
        <v>33</v>
      </c>
      <c r="W22" s="63" t="s">
        <v>116</v>
      </c>
    </row>
    <row r="23" spans="1:23" ht="75">
      <c r="A23" s="63" t="s">
        <v>69</v>
      </c>
      <c r="B23" s="63" t="s">
        <v>105</v>
      </c>
      <c r="C23" s="64">
        <v>46016</v>
      </c>
      <c r="D23" s="65" t="str">
        <f t="shared" si="5"/>
        <v>2025-S52</v>
      </c>
      <c r="E23" s="66" t="str">
        <f t="shared" si="0"/>
        <v>2025-M12</v>
      </c>
      <c r="F23" s="65">
        <f t="shared" si="1"/>
        <v>2025</v>
      </c>
      <c r="G23" s="63" t="s">
        <v>106</v>
      </c>
      <c r="H23" s="63" t="s">
        <v>72</v>
      </c>
      <c r="I23" s="63" t="s">
        <v>45</v>
      </c>
      <c r="J23" s="63" t="s">
        <v>117</v>
      </c>
      <c r="K23" s="63" t="s">
        <v>118</v>
      </c>
      <c r="L23" s="63" t="s">
        <v>48</v>
      </c>
      <c r="M23" s="63" t="s">
        <v>119</v>
      </c>
      <c r="N23" s="68">
        <v>0.49305555555555558</v>
      </c>
      <c r="O23" s="68">
        <v>0.75</v>
      </c>
      <c r="P23" s="69">
        <f t="shared" si="4"/>
        <v>6.1666666666666661</v>
      </c>
      <c r="Q23" s="70">
        <v>2</v>
      </c>
      <c r="R23" s="71" t="str">
        <f t="shared" si="2"/>
        <v>2LE RESTEBERRECHID</v>
      </c>
      <c r="S23" s="72">
        <f>IF(P23="","",P23/VLOOKUP(R23,'Matrice Productivité '!I:J,2,FALSE)/100)</f>
        <v>2.388946280991735E-3</v>
      </c>
      <c r="T23" s="75" t="s">
        <v>120</v>
      </c>
      <c r="U23" s="75" t="s">
        <v>121</v>
      </c>
      <c r="V23" s="63" t="s">
        <v>52</v>
      </c>
      <c r="W23" s="63" t="s">
        <v>122</v>
      </c>
    </row>
    <row r="24" spans="1:23" ht="30">
      <c r="A24" s="63" t="s">
        <v>69</v>
      </c>
      <c r="B24" s="63" t="s">
        <v>70</v>
      </c>
      <c r="C24" s="39">
        <v>46017</v>
      </c>
      <c r="D24" s="65" t="str">
        <f t="shared" si="5"/>
        <v>2025-S52</v>
      </c>
      <c r="E24" s="66" t="str">
        <f t="shared" si="0"/>
        <v>2025-M12</v>
      </c>
      <c r="F24" s="65">
        <f t="shared" si="1"/>
        <v>2025</v>
      </c>
      <c r="G24" s="2" t="s">
        <v>71</v>
      </c>
      <c r="H24" s="63" t="s">
        <v>72</v>
      </c>
      <c r="I24" s="63" t="s">
        <v>73</v>
      </c>
      <c r="J24" s="63" t="s">
        <v>123</v>
      </c>
      <c r="K24" s="63" t="s">
        <v>75</v>
      </c>
      <c r="L24" s="2" t="s">
        <v>75</v>
      </c>
      <c r="M24" s="63" t="s">
        <v>94</v>
      </c>
      <c r="N24" s="68">
        <v>0.39583333333333331</v>
      </c>
      <c r="O24" s="68">
        <v>0.45833333333333331</v>
      </c>
      <c r="P24" s="69">
        <f t="shared" si="4"/>
        <v>1.5</v>
      </c>
      <c r="Q24" s="70">
        <v>3</v>
      </c>
      <c r="R24" s="71" t="str">
        <f t="shared" si="2"/>
        <v>3EDMIBERRECHID</v>
      </c>
      <c r="S24" s="72">
        <f>IF(P24="","",P24/VLOOKUP(R24,'Matrice Productivité '!I:J,2,FALSE)/100)</f>
        <v>1.1621900826446279E-3</v>
      </c>
      <c r="T24" s="24" t="s">
        <v>124</v>
      </c>
      <c r="U24" s="24" t="s">
        <v>125</v>
      </c>
      <c r="V24" s="74" t="s">
        <v>33</v>
      </c>
      <c r="W24" s="2" t="s">
        <v>126</v>
      </c>
    </row>
    <row r="25" spans="1:23" ht="30">
      <c r="A25" s="63" t="s">
        <v>69</v>
      </c>
      <c r="B25" s="2" t="s">
        <v>105</v>
      </c>
      <c r="C25" s="39">
        <v>46013</v>
      </c>
      <c r="D25" s="65" t="str">
        <f t="shared" si="5"/>
        <v>2025-S52</v>
      </c>
      <c r="E25" s="66" t="str">
        <f t="shared" si="0"/>
        <v>2025-M12</v>
      </c>
      <c r="F25" s="65">
        <f t="shared" si="1"/>
        <v>2025</v>
      </c>
      <c r="G25" s="2" t="s">
        <v>127</v>
      </c>
      <c r="H25" s="2" t="s">
        <v>128</v>
      </c>
      <c r="I25" s="2" t="s">
        <v>129</v>
      </c>
      <c r="J25" s="2" t="s">
        <v>130</v>
      </c>
      <c r="K25" s="63" t="s">
        <v>75</v>
      </c>
      <c r="L25" s="2" t="s">
        <v>75</v>
      </c>
      <c r="M25" s="2" t="s">
        <v>131</v>
      </c>
      <c r="N25" s="68">
        <v>0.91666666666666663</v>
      </c>
      <c r="O25" s="68">
        <v>0.94166666666666665</v>
      </c>
      <c r="P25" s="69">
        <f t="shared" si="4"/>
        <v>0.60000000000000053</v>
      </c>
      <c r="Q25" s="76">
        <v>3</v>
      </c>
      <c r="R25" s="71" t="str">
        <f t="shared" si="2"/>
        <v>3EDMIBERRECHID</v>
      </c>
      <c r="S25" s="72">
        <f>IF(P25="","",P25/VLOOKUP(R25,'Matrice Productivité '!I:J,2,FALSE)/100)</f>
        <v>4.6487603305785162E-4</v>
      </c>
      <c r="T25" s="77" t="s">
        <v>132</v>
      </c>
      <c r="U25" s="24" t="s">
        <v>133</v>
      </c>
      <c r="V25" s="63" t="s">
        <v>90</v>
      </c>
      <c r="W25" s="2" t="s">
        <v>134</v>
      </c>
    </row>
    <row r="26" spans="1:23" ht="30">
      <c r="A26" s="63" t="s">
        <v>69</v>
      </c>
      <c r="B26" s="2" t="s">
        <v>105</v>
      </c>
      <c r="C26" s="39">
        <v>46013</v>
      </c>
      <c r="D26" s="65" t="str">
        <f t="shared" si="5"/>
        <v>2025-S52</v>
      </c>
      <c r="E26" s="66" t="str">
        <f t="shared" si="0"/>
        <v>2025-M12</v>
      </c>
      <c r="F26" s="65">
        <f t="shared" si="1"/>
        <v>2025</v>
      </c>
      <c r="G26" s="2" t="s">
        <v>127</v>
      </c>
      <c r="H26" s="2" t="s">
        <v>99</v>
      </c>
      <c r="I26" s="2" t="s">
        <v>129</v>
      </c>
      <c r="J26" s="2" t="s">
        <v>130</v>
      </c>
      <c r="K26" s="63" t="s">
        <v>75</v>
      </c>
      <c r="L26" s="2" t="s">
        <v>75</v>
      </c>
      <c r="M26" s="2" t="s">
        <v>131</v>
      </c>
      <c r="N26" s="68">
        <v>0.58333333333333337</v>
      </c>
      <c r="O26" s="68">
        <v>0.60833333333333339</v>
      </c>
      <c r="P26" s="69">
        <f t="shared" si="4"/>
        <v>0.60000000000000053</v>
      </c>
      <c r="Q26" s="76">
        <v>3</v>
      </c>
      <c r="R26" s="71" t="str">
        <f t="shared" si="2"/>
        <v>3EDMIBERRECHID</v>
      </c>
      <c r="S26" s="72">
        <f>IF(P26="","",P26/VLOOKUP(R26,'Matrice Productivité '!I:J,2,FALSE)/100)</f>
        <v>4.6487603305785162E-4</v>
      </c>
      <c r="T26" s="77" t="s">
        <v>132</v>
      </c>
      <c r="U26" s="24" t="s">
        <v>135</v>
      </c>
      <c r="V26" s="63" t="s">
        <v>90</v>
      </c>
      <c r="W26" s="2" t="s">
        <v>136</v>
      </c>
    </row>
    <row r="27" spans="1:23" ht="30">
      <c r="A27" s="63" t="s">
        <v>69</v>
      </c>
      <c r="B27" s="2" t="s">
        <v>105</v>
      </c>
      <c r="C27" s="39">
        <v>46014</v>
      </c>
      <c r="D27" s="65" t="str">
        <f t="shared" si="5"/>
        <v>2025-S52</v>
      </c>
      <c r="E27" s="66" t="str">
        <f t="shared" si="0"/>
        <v>2025-M12</v>
      </c>
      <c r="F27" s="65">
        <f t="shared" si="1"/>
        <v>2025</v>
      </c>
      <c r="G27" s="2" t="s">
        <v>127</v>
      </c>
      <c r="H27" s="2" t="s">
        <v>128</v>
      </c>
      <c r="I27" s="2" t="s">
        <v>129</v>
      </c>
      <c r="J27" s="2" t="s">
        <v>130</v>
      </c>
      <c r="K27" s="63" t="s">
        <v>75</v>
      </c>
      <c r="L27" s="2" t="s">
        <v>75</v>
      </c>
      <c r="M27" s="2" t="s">
        <v>131</v>
      </c>
      <c r="N27" s="68">
        <v>0.91666666666666663</v>
      </c>
      <c r="O27" s="68">
        <v>0.94166666666666665</v>
      </c>
      <c r="P27" s="69">
        <f t="shared" si="4"/>
        <v>0.60000000000000053</v>
      </c>
      <c r="Q27" s="76">
        <v>3</v>
      </c>
      <c r="R27" s="71" t="str">
        <f t="shared" si="2"/>
        <v>3EDMIBERRECHID</v>
      </c>
      <c r="S27" s="72">
        <f>IF(P27="","",P27/VLOOKUP(R27,'Matrice Productivité '!I:J,2,FALSE)/100)</f>
        <v>4.6487603305785162E-4</v>
      </c>
      <c r="T27" s="77" t="s">
        <v>132</v>
      </c>
      <c r="U27" s="24" t="s">
        <v>133</v>
      </c>
      <c r="V27" s="63" t="s">
        <v>90</v>
      </c>
      <c r="W27" s="2" t="s">
        <v>134</v>
      </c>
    </row>
    <row r="28" spans="1:23" ht="30">
      <c r="A28" s="63" t="s">
        <v>69</v>
      </c>
      <c r="B28" s="2" t="s">
        <v>105</v>
      </c>
      <c r="C28" s="39">
        <v>46014</v>
      </c>
      <c r="D28" s="65" t="str">
        <f t="shared" si="5"/>
        <v>2025-S52</v>
      </c>
      <c r="E28" s="66" t="str">
        <f t="shared" si="0"/>
        <v>2025-M12</v>
      </c>
      <c r="F28" s="65">
        <f t="shared" si="1"/>
        <v>2025</v>
      </c>
      <c r="G28" s="2" t="s">
        <v>127</v>
      </c>
      <c r="H28" s="2" t="s">
        <v>72</v>
      </c>
      <c r="I28" s="2" t="s">
        <v>129</v>
      </c>
      <c r="J28" s="2" t="s">
        <v>130</v>
      </c>
      <c r="K28" s="63" t="s">
        <v>75</v>
      </c>
      <c r="L28" s="2" t="s">
        <v>75</v>
      </c>
      <c r="M28" s="2" t="s">
        <v>131</v>
      </c>
      <c r="N28" s="68">
        <v>0.25</v>
      </c>
      <c r="O28" s="68">
        <v>0.26666666666666666</v>
      </c>
      <c r="P28" s="69">
        <f t="shared" si="4"/>
        <v>0.39999999999999991</v>
      </c>
      <c r="Q28" s="76">
        <v>3</v>
      </c>
      <c r="R28" s="71" t="str">
        <f t="shared" si="2"/>
        <v>3EDMIBERRECHID</v>
      </c>
      <c r="S28" s="72">
        <f>IF(P28="","",P28/VLOOKUP(R28,'Matrice Productivité '!I:J,2,FALSE)/100)</f>
        <v>3.0991735537190074E-4</v>
      </c>
      <c r="T28" s="77" t="s">
        <v>132</v>
      </c>
      <c r="U28" s="24" t="s">
        <v>135</v>
      </c>
      <c r="V28" s="63" t="s">
        <v>90</v>
      </c>
      <c r="W28" s="2" t="s">
        <v>137</v>
      </c>
    </row>
    <row r="29" spans="1:23" ht="30">
      <c r="A29" s="63" t="s">
        <v>69</v>
      </c>
      <c r="B29" s="2" t="s">
        <v>105</v>
      </c>
      <c r="C29" s="39">
        <v>46014</v>
      </c>
      <c r="D29" s="65" t="str">
        <f t="shared" si="5"/>
        <v>2025-S52</v>
      </c>
      <c r="E29" s="66" t="str">
        <f t="shared" si="0"/>
        <v>2025-M12</v>
      </c>
      <c r="F29" s="65">
        <f t="shared" si="1"/>
        <v>2025</v>
      </c>
      <c r="G29" s="2" t="s">
        <v>138</v>
      </c>
      <c r="H29" s="2" t="s">
        <v>99</v>
      </c>
      <c r="I29" s="2" t="s">
        <v>129</v>
      </c>
      <c r="J29" s="2" t="s">
        <v>130</v>
      </c>
      <c r="K29" s="63" t="s">
        <v>75</v>
      </c>
      <c r="L29" s="2" t="s">
        <v>75</v>
      </c>
      <c r="M29" s="2" t="s">
        <v>131</v>
      </c>
      <c r="N29" s="68">
        <v>0.25</v>
      </c>
      <c r="O29" s="68">
        <v>0.26666666666666666</v>
      </c>
      <c r="P29" s="69">
        <f t="shared" si="4"/>
        <v>0.39999999999999991</v>
      </c>
      <c r="Q29" s="76">
        <v>3</v>
      </c>
      <c r="R29" s="71" t="str">
        <f t="shared" si="2"/>
        <v>3EDMIBERRECHID</v>
      </c>
      <c r="S29" s="72">
        <f>IF(P29="","",P29/VLOOKUP(R29,'Matrice Productivité '!I:J,2,FALSE)/100)</f>
        <v>3.0991735537190074E-4</v>
      </c>
      <c r="T29" s="77" t="s">
        <v>132</v>
      </c>
      <c r="U29" s="24" t="s">
        <v>139</v>
      </c>
      <c r="V29" s="63" t="s">
        <v>90</v>
      </c>
      <c r="W29" s="2" t="s">
        <v>136</v>
      </c>
    </row>
    <row r="30" spans="1:23" ht="30">
      <c r="A30" s="63" t="s">
        <v>69</v>
      </c>
      <c r="B30" s="2" t="s">
        <v>105</v>
      </c>
      <c r="C30" s="39">
        <v>46014</v>
      </c>
      <c r="D30" s="65" t="str">
        <f t="shared" si="5"/>
        <v>2025-S52</v>
      </c>
      <c r="E30" s="66" t="str">
        <f t="shared" si="0"/>
        <v>2025-M12</v>
      </c>
      <c r="F30" s="65">
        <f t="shared" si="1"/>
        <v>2025</v>
      </c>
      <c r="G30" s="2" t="s">
        <v>127</v>
      </c>
      <c r="H30" s="2" t="s">
        <v>72</v>
      </c>
      <c r="I30" s="2" t="s">
        <v>129</v>
      </c>
      <c r="J30" s="2" t="s">
        <v>130</v>
      </c>
      <c r="K30" s="63" t="s">
        <v>75</v>
      </c>
      <c r="L30" s="2" t="s">
        <v>75</v>
      </c>
      <c r="M30" s="2" t="s">
        <v>131</v>
      </c>
      <c r="N30" s="68">
        <v>0.25</v>
      </c>
      <c r="O30" s="68">
        <v>0.26666666666666666</v>
      </c>
      <c r="P30" s="69">
        <f t="shared" si="4"/>
        <v>0.39999999999999991</v>
      </c>
      <c r="Q30" s="76">
        <v>3</v>
      </c>
      <c r="R30" s="71" t="str">
        <f t="shared" si="2"/>
        <v>3EDMIBERRECHID</v>
      </c>
      <c r="S30" s="72">
        <f>IF(P30="","",P30/VLOOKUP(R30,'Matrice Productivité '!I:J,2,FALSE)/100)</f>
        <v>3.0991735537190074E-4</v>
      </c>
      <c r="T30" s="24" t="s">
        <v>503</v>
      </c>
      <c r="U30" s="24" t="s">
        <v>140</v>
      </c>
      <c r="V30" s="2" t="s">
        <v>141</v>
      </c>
      <c r="W30" s="2" t="s">
        <v>137</v>
      </c>
    </row>
    <row r="31" spans="1:23" ht="30">
      <c r="A31" s="63" t="s">
        <v>69</v>
      </c>
      <c r="B31" s="2" t="s">
        <v>105</v>
      </c>
      <c r="C31" s="39">
        <v>46014</v>
      </c>
      <c r="D31" s="65" t="str">
        <f t="shared" si="5"/>
        <v>2025-S52</v>
      </c>
      <c r="E31" s="66" t="str">
        <f t="shared" si="0"/>
        <v>2025-M12</v>
      </c>
      <c r="F31" s="65">
        <f t="shared" si="1"/>
        <v>2025</v>
      </c>
      <c r="G31" s="2" t="s">
        <v>127</v>
      </c>
      <c r="H31" s="2" t="s">
        <v>99</v>
      </c>
      <c r="I31" s="2" t="s">
        <v>129</v>
      </c>
      <c r="J31" s="2" t="s">
        <v>130</v>
      </c>
      <c r="K31" s="63" t="s">
        <v>75</v>
      </c>
      <c r="L31" s="2" t="s">
        <v>75</v>
      </c>
      <c r="M31" s="2" t="s">
        <v>131</v>
      </c>
      <c r="N31" s="68">
        <v>0.58333333333333337</v>
      </c>
      <c r="O31" s="68">
        <v>0.60416666666666674</v>
      </c>
      <c r="P31" s="69">
        <f t="shared" si="4"/>
        <v>0.50000000000000089</v>
      </c>
      <c r="Q31" s="76">
        <v>3</v>
      </c>
      <c r="R31" s="71" t="str">
        <f t="shared" si="2"/>
        <v>3EDMIBERRECHID</v>
      </c>
      <c r="S31" s="72">
        <f>IF(P31="","",P31/VLOOKUP(R31,'Matrice Productivité '!I:J,2,FALSE)/100)</f>
        <v>3.8739669421487669E-4</v>
      </c>
      <c r="T31" s="24" t="s">
        <v>142</v>
      </c>
      <c r="U31" s="24" t="s">
        <v>143</v>
      </c>
      <c r="V31" s="2" t="s">
        <v>141</v>
      </c>
      <c r="W31" s="2" t="s">
        <v>138</v>
      </c>
    </row>
    <row r="32" spans="1:23" ht="30">
      <c r="A32" s="63" t="s">
        <v>69</v>
      </c>
      <c r="B32" s="2" t="s">
        <v>105</v>
      </c>
      <c r="C32" s="39">
        <v>46015</v>
      </c>
      <c r="D32" s="65" t="str">
        <f t="shared" si="5"/>
        <v>2025-S52</v>
      </c>
      <c r="E32" s="66" t="str">
        <f t="shared" si="0"/>
        <v>2025-M12</v>
      </c>
      <c r="F32" s="65">
        <f t="shared" si="1"/>
        <v>2025</v>
      </c>
      <c r="G32" s="2" t="s">
        <v>127</v>
      </c>
      <c r="H32" s="2" t="s">
        <v>128</v>
      </c>
      <c r="I32" s="2" t="s">
        <v>129</v>
      </c>
      <c r="J32" s="2" t="s">
        <v>130</v>
      </c>
      <c r="K32" s="63" t="s">
        <v>75</v>
      </c>
      <c r="L32" s="2" t="s">
        <v>75</v>
      </c>
      <c r="M32" s="2" t="s">
        <v>131</v>
      </c>
      <c r="N32" s="68">
        <v>0.91666666666666663</v>
      </c>
      <c r="O32" s="68">
        <v>0.93333333333333335</v>
      </c>
      <c r="P32" s="69">
        <f t="shared" si="4"/>
        <v>0.40000000000000124</v>
      </c>
      <c r="Q32" s="76">
        <v>3</v>
      </c>
      <c r="R32" s="71" t="str">
        <f t="shared" si="2"/>
        <v>3EDMIBERRECHID</v>
      </c>
      <c r="S32" s="72">
        <f>IF(P32="","",P32/VLOOKUP(R32,'Matrice Productivité '!I:J,2,FALSE)/100)</f>
        <v>3.0991735537190177E-4</v>
      </c>
      <c r="T32" s="77" t="s">
        <v>132</v>
      </c>
      <c r="U32" s="24" t="s">
        <v>133</v>
      </c>
      <c r="V32" s="63" t="s">
        <v>90</v>
      </c>
      <c r="W32" s="2" t="s">
        <v>134</v>
      </c>
    </row>
    <row r="33" spans="1:23" ht="30">
      <c r="A33" s="63" t="s">
        <v>69</v>
      </c>
      <c r="B33" s="2" t="s">
        <v>105</v>
      </c>
      <c r="C33" s="39">
        <v>46015</v>
      </c>
      <c r="D33" s="65" t="str">
        <f t="shared" si="5"/>
        <v>2025-S52</v>
      </c>
      <c r="E33" s="66" t="str">
        <f t="shared" ref="E33:E64" si="6">YEAR(C33)&amp;"-M"&amp;MONTH(C33)</f>
        <v>2025-M12</v>
      </c>
      <c r="F33" s="65">
        <f t="shared" si="1"/>
        <v>2025</v>
      </c>
      <c r="G33" s="2" t="s">
        <v>127</v>
      </c>
      <c r="H33" s="2" t="s">
        <v>72</v>
      </c>
      <c r="I33" s="2" t="s">
        <v>129</v>
      </c>
      <c r="J33" s="2" t="s">
        <v>130</v>
      </c>
      <c r="K33" s="63" t="s">
        <v>75</v>
      </c>
      <c r="L33" s="2" t="s">
        <v>75</v>
      </c>
      <c r="M33" s="2" t="s">
        <v>131</v>
      </c>
      <c r="N33" s="68">
        <v>0.25</v>
      </c>
      <c r="O33" s="68">
        <v>0.26666666666666666</v>
      </c>
      <c r="P33" s="69">
        <f t="shared" si="4"/>
        <v>0.39999999999999991</v>
      </c>
      <c r="Q33" s="76">
        <v>3</v>
      </c>
      <c r="R33" s="71" t="str">
        <f t="shared" si="2"/>
        <v>3EDMIBERRECHID</v>
      </c>
      <c r="S33" s="72">
        <f>IF(P33="","",P33/VLOOKUP(R33,'Matrice Productivité '!I:J,2,FALSE)/100)</f>
        <v>3.0991735537190074E-4</v>
      </c>
      <c r="T33" s="24" t="s">
        <v>144</v>
      </c>
      <c r="U33" s="24" t="s">
        <v>144</v>
      </c>
      <c r="V33" s="74" t="s">
        <v>33</v>
      </c>
      <c r="W33" s="2" t="s">
        <v>145</v>
      </c>
    </row>
    <row r="34" spans="1:23" ht="30">
      <c r="A34" s="63" t="s">
        <v>69</v>
      </c>
      <c r="B34" s="2" t="s">
        <v>105</v>
      </c>
      <c r="C34" s="39">
        <v>46015</v>
      </c>
      <c r="D34" s="65" t="str">
        <f t="shared" si="5"/>
        <v>2025-S52</v>
      </c>
      <c r="E34" s="66" t="str">
        <f t="shared" si="6"/>
        <v>2025-M12</v>
      </c>
      <c r="F34" s="65">
        <f t="shared" si="1"/>
        <v>2025</v>
      </c>
      <c r="G34" s="2" t="s">
        <v>127</v>
      </c>
      <c r="H34" s="2" t="s">
        <v>99</v>
      </c>
      <c r="I34" s="2" t="s">
        <v>129</v>
      </c>
      <c r="J34" s="2" t="s">
        <v>130</v>
      </c>
      <c r="K34" s="63" t="s">
        <v>75</v>
      </c>
      <c r="L34" s="2" t="s">
        <v>75</v>
      </c>
      <c r="M34" s="2" t="s">
        <v>131</v>
      </c>
      <c r="N34" s="68">
        <v>0.58333333333333337</v>
      </c>
      <c r="O34" s="68">
        <v>0.60416666666666674</v>
      </c>
      <c r="P34" s="69">
        <f t="shared" si="4"/>
        <v>0.50000000000000089</v>
      </c>
      <c r="Q34" s="76">
        <v>3</v>
      </c>
      <c r="R34" s="71" t="str">
        <f t="shared" ref="R34:R65" si="7">Q34&amp;L34&amp;A34</f>
        <v>3EDMIBERRECHID</v>
      </c>
      <c r="S34" s="72">
        <f>IF(P34="","",P34/VLOOKUP(R34,'Matrice Productivité '!I:J,2,FALSE)/100)</f>
        <v>3.8739669421487669E-4</v>
      </c>
      <c r="T34" s="77" t="s">
        <v>132</v>
      </c>
      <c r="U34" s="24" t="s">
        <v>139</v>
      </c>
      <c r="V34" s="63" t="s">
        <v>90</v>
      </c>
      <c r="W34" s="2" t="s">
        <v>136</v>
      </c>
    </row>
    <row r="35" spans="1:23" ht="30">
      <c r="A35" s="63" t="s">
        <v>69</v>
      </c>
      <c r="B35" s="2" t="s">
        <v>105</v>
      </c>
      <c r="C35" s="39">
        <v>46015</v>
      </c>
      <c r="D35" s="65" t="str">
        <f t="shared" si="5"/>
        <v>2025-S52</v>
      </c>
      <c r="E35" s="66" t="str">
        <f t="shared" si="6"/>
        <v>2025-M12</v>
      </c>
      <c r="F35" s="65">
        <f t="shared" si="1"/>
        <v>2025</v>
      </c>
      <c r="G35" s="2" t="s">
        <v>127</v>
      </c>
      <c r="H35" s="2" t="s">
        <v>99</v>
      </c>
      <c r="I35" s="2" t="s">
        <v>129</v>
      </c>
      <c r="J35" s="2" t="s">
        <v>130</v>
      </c>
      <c r="K35" s="63" t="s">
        <v>75</v>
      </c>
      <c r="L35" s="2" t="s">
        <v>75</v>
      </c>
      <c r="M35" s="2" t="s">
        <v>131</v>
      </c>
      <c r="N35" s="68">
        <v>0.58333333333333337</v>
      </c>
      <c r="O35" s="68">
        <v>0.625</v>
      </c>
      <c r="P35" s="69">
        <f t="shared" si="4"/>
        <v>0.99999999999999911</v>
      </c>
      <c r="Q35" s="76">
        <v>3</v>
      </c>
      <c r="R35" s="71" t="str">
        <f t="shared" si="7"/>
        <v>3EDMIBERRECHID</v>
      </c>
      <c r="S35" s="72">
        <f>IF(P35="","",P35/VLOOKUP(R35,'Matrice Productivité '!I:J,2,FALSE)/100)</f>
        <v>7.7479338842975133E-4</v>
      </c>
      <c r="T35" s="24" t="s">
        <v>142</v>
      </c>
      <c r="U35" s="24" t="s">
        <v>143</v>
      </c>
      <c r="V35" s="2" t="s">
        <v>141</v>
      </c>
      <c r="W35" s="2" t="s">
        <v>138</v>
      </c>
    </row>
    <row r="36" spans="1:23" ht="30">
      <c r="A36" s="63" t="s">
        <v>69</v>
      </c>
      <c r="B36" s="2" t="s">
        <v>105</v>
      </c>
      <c r="C36" s="39">
        <v>46016</v>
      </c>
      <c r="D36" s="65" t="str">
        <f t="shared" si="5"/>
        <v>2025-S52</v>
      </c>
      <c r="E36" s="66" t="str">
        <f t="shared" si="6"/>
        <v>2025-M12</v>
      </c>
      <c r="F36" s="65">
        <f t="shared" si="1"/>
        <v>2025</v>
      </c>
      <c r="G36" s="2" t="s">
        <v>127</v>
      </c>
      <c r="H36" s="2" t="s">
        <v>128</v>
      </c>
      <c r="I36" s="2" t="s">
        <v>129</v>
      </c>
      <c r="J36" s="2" t="s">
        <v>130</v>
      </c>
      <c r="K36" s="63" t="s">
        <v>75</v>
      </c>
      <c r="L36" s="2" t="s">
        <v>75</v>
      </c>
      <c r="M36" s="2" t="s">
        <v>131</v>
      </c>
      <c r="N36" s="68">
        <v>0.91666666666666663</v>
      </c>
      <c r="O36" s="68">
        <v>0.93333333333333335</v>
      </c>
      <c r="P36" s="69">
        <f t="shared" si="4"/>
        <v>0.40000000000000124</v>
      </c>
      <c r="Q36" s="76">
        <v>3</v>
      </c>
      <c r="R36" s="71" t="str">
        <f t="shared" si="7"/>
        <v>3EDMIBERRECHID</v>
      </c>
      <c r="S36" s="72">
        <f>IF(P36="","",P36/VLOOKUP(R36,'Matrice Productivité '!I:J,2,FALSE)/100)</f>
        <v>3.0991735537190177E-4</v>
      </c>
      <c r="T36" s="77" t="s">
        <v>132</v>
      </c>
      <c r="U36" s="24" t="s">
        <v>133</v>
      </c>
      <c r="V36" s="63" t="s">
        <v>90</v>
      </c>
      <c r="W36" s="2" t="s">
        <v>134</v>
      </c>
    </row>
    <row r="37" spans="1:23" ht="30">
      <c r="A37" s="63" t="s">
        <v>69</v>
      </c>
      <c r="B37" s="2" t="s">
        <v>105</v>
      </c>
      <c r="C37" s="39">
        <v>46016</v>
      </c>
      <c r="D37" s="65" t="str">
        <f t="shared" si="5"/>
        <v>2025-S52</v>
      </c>
      <c r="E37" s="66" t="str">
        <f t="shared" si="6"/>
        <v>2025-M12</v>
      </c>
      <c r="F37" s="65">
        <f t="shared" si="1"/>
        <v>2025</v>
      </c>
      <c r="G37" s="2" t="s">
        <v>127</v>
      </c>
      <c r="H37" s="2" t="s">
        <v>128</v>
      </c>
      <c r="I37" s="2" t="s">
        <v>129</v>
      </c>
      <c r="J37" s="2" t="s">
        <v>130</v>
      </c>
      <c r="K37" s="63" t="s">
        <v>75</v>
      </c>
      <c r="L37" s="2" t="s">
        <v>75</v>
      </c>
      <c r="M37" s="2" t="s">
        <v>131</v>
      </c>
      <c r="N37" s="68">
        <v>0.91666666666666663</v>
      </c>
      <c r="O37" s="68">
        <v>0.98749999999999993</v>
      </c>
      <c r="P37" s="69">
        <f t="shared" si="4"/>
        <v>1.6999999999999993</v>
      </c>
      <c r="Q37" s="76">
        <v>3</v>
      </c>
      <c r="R37" s="71" t="str">
        <f t="shared" si="7"/>
        <v>3EDMIBERRECHID</v>
      </c>
      <c r="S37" s="72">
        <f>IF(P37="","",P37/VLOOKUP(R37,'Matrice Productivité '!I:J,2,FALSE)/100)</f>
        <v>1.3171487603305778E-3</v>
      </c>
      <c r="T37" s="77" t="s">
        <v>132</v>
      </c>
      <c r="U37" s="24" t="s">
        <v>139</v>
      </c>
      <c r="V37" s="63" t="s">
        <v>90</v>
      </c>
      <c r="W37" s="2" t="s">
        <v>137</v>
      </c>
    </row>
    <row r="38" spans="1:23" ht="30">
      <c r="A38" s="63" t="s">
        <v>69</v>
      </c>
      <c r="B38" s="2" t="s">
        <v>105</v>
      </c>
      <c r="C38" s="39">
        <v>46016</v>
      </c>
      <c r="D38" s="65" t="str">
        <f t="shared" si="5"/>
        <v>2025-S52</v>
      </c>
      <c r="E38" s="66" t="str">
        <f t="shared" si="6"/>
        <v>2025-M12</v>
      </c>
      <c r="F38" s="65">
        <f t="shared" si="1"/>
        <v>2025</v>
      </c>
      <c r="G38" s="2" t="s">
        <v>127</v>
      </c>
      <c r="H38" s="2" t="s">
        <v>128</v>
      </c>
      <c r="I38" s="2" t="s">
        <v>129</v>
      </c>
      <c r="J38" s="2" t="s">
        <v>130</v>
      </c>
      <c r="K38" s="63" t="s">
        <v>75</v>
      </c>
      <c r="L38" s="2" t="s">
        <v>75</v>
      </c>
      <c r="M38" s="2" t="s">
        <v>131</v>
      </c>
      <c r="N38" s="68">
        <v>0.91666666666666663</v>
      </c>
      <c r="O38" s="68">
        <v>0.94166666666666665</v>
      </c>
      <c r="P38" s="69">
        <f t="shared" si="4"/>
        <v>0.60000000000000053</v>
      </c>
      <c r="Q38" s="76">
        <v>3</v>
      </c>
      <c r="R38" s="71" t="str">
        <f t="shared" si="7"/>
        <v>3EDMIBERRECHID</v>
      </c>
      <c r="S38" s="72">
        <f>IF(P38="","",P38/VLOOKUP(R38,'Matrice Productivité '!I:J,2,FALSE)/100)</f>
        <v>4.6487603305785162E-4</v>
      </c>
      <c r="T38" s="77" t="s">
        <v>132</v>
      </c>
      <c r="U38" s="24" t="s">
        <v>139</v>
      </c>
      <c r="V38" s="63" t="s">
        <v>90</v>
      </c>
      <c r="W38" s="2" t="s">
        <v>136</v>
      </c>
    </row>
    <row r="39" spans="1:23" ht="30">
      <c r="A39" s="63" t="s">
        <v>69</v>
      </c>
      <c r="B39" s="2" t="s">
        <v>105</v>
      </c>
      <c r="C39" s="39">
        <v>46016</v>
      </c>
      <c r="D39" s="65" t="str">
        <f t="shared" si="5"/>
        <v>2025-S52</v>
      </c>
      <c r="E39" s="66" t="str">
        <f t="shared" si="6"/>
        <v>2025-M12</v>
      </c>
      <c r="F39" s="65">
        <f t="shared" si="1"/>
        <v>2025</v>
      </c>
      <c r="G39" s="2" t="s">
        <v>127</v>
      </c>
      <c r="H39" s="2" t="s">
        <v>99</v>
      </c>
      <c r="I39" s="2" t="s">
        <v>129</v>
      </c>
      <c r="J39" s="2" t="s">
        <v>130</v>
      </c>
      <c r="K39" s="63" t="s">
        <v>75</v>
      </c>
      <c r="L39" s="2" t="s">
        <v>75</v>
      </c>
      <c r="M39" s="2" t="s">
        <v>131</v>
      </c>
      <c r="N39" s="68">
        <v>0.58333333333333337</v>
      </c>
      <c r="O39" s="68">
        <v>0.60833333333333339</v>
      </c>
      <c r="P39" s="69">
        <f t="shared" si="4"/>
        <v>0.60000000000000053</v>
      </c>
      <c r="Q39" s="76">
        <v>3</v>
      </c>
      <c r="R39" s="71" t="str">
        <f t="shared" si="7"/>
        <v>3EDMIBERRECHID</v>
      </c>
      <c r="S39" s="72">
        <f>IF(P39="","",P39/VLOOKUP(R39,'Matrice Productivité '!I:J,2,FALSE)/100)</f>
        <v>4.6487603305785162E-4</v>
      </c>
      <c r="T39" s="24" t="s">
        <v>142</v>
      </c>
      <c r="U39" s="24" t="s">
        <v>143</v>
      </c>
      <c r="V39" s="2" t="s">
        <v>141</v>
      </c>
      <c r="W39" s="2" t="s">
        <v>138</v>
      </c>
    </row>
    <row r="40" spans="1:23" ht="30">
      <c r="A40" s="63" t="s">
        <v>69</v>
      </c>
      <c r="B40" s="2" t="s">
        <v>105</v>
      </c>
      <c r="C40" s="39">
        <v>46017</v>
      </c>
      <c r="D40" s="65" t="str">
        <f t="shared" si="5"/>
        <v>2025-S52</v>
      </c>
      <c r="E40" s="66" t="str">
        <f t="shared" si="6"/>
        <v>2025-M12</v>
      </c>
      <c r="F40" s="65">
        <f t="shared" si="1"/>
        <v>2025</v>
      </c>
      <c r="G40" s="2" t="s">
        <v>127</v>
      </c>
      <c r="H40" s="2" t="s">
        <v>128</v>
      </c>
      <c r="I40" s="2" t="s">
        <v>129</v>
      </c>
      <c r="J40" s="2" t="s">
        <v>130</v>
      </c>
      <c r="K40" s="63" t="s">
        <v>75</v>
      </c>
      <c r="L40" s="2" t="s">
        <v>75</v>
      </c>
      <c r="M40" s="2" t="s">
        <v>131</v>
      </c>
      <c r="N40" s="68">
        <v>0.58333333333333348</v>
      </c>
      <c r="O40" s="68">
        <v>0.91666666666666674</v>
      </c>
      <c r="P40" s="69">
        <f t="shared" si="4"/>
        <v>7.9999999999999982</v>
      </c>
      <c r="Q40" s="76">
        <v>3</v>
      </c>
      <c r="R40" s="71" t="str">
        <f t="shared" si="7"/>
        <v>3EDMIBERRECHID</v>
      </c>
      <c r="S40" s="72">
        <f>IF(P40="","",P40/VLOOKUP(R40,'Matrice Productivité '!I:J,2,FALSE)/100)</f>
        <v>6.198347107438015E-3</v>
      </c>
      <c r="T40" s="77" t="s">
        <v>132</v>
      </c>
      <c r="U40" s="24" t="s">
        <v>146</v>
      </c>
      <c r="V40" s="63" t="s">
        <v>90</v>
      </c>
      <c r="W40" s="2" t="s">
        <v>147</v>
      </c>
    </row>
    <row r="41" spans="1:23" ht="30">
      <c r="A41" s="63" t="s">
        <v>69</v>
      </c>
      <c r="B41" s="2" t="s">
        <v>105</v>
      </c>
      <c r="C41" s="39">
        <v>46017</v>
      </c>
      <c r="D41" s="65" t="str">
        <f t="shared" si="5"/>
        <v>2025-S52</v>
      </c>
      <c r="E41" s="66" t="str">
        <f t="shared" si="6"/>
        <v>2025-M12</v>
      </c>
      <c r="F41" s="65">
        <f t="shared" si="1"/>
        <v>2025</v>
      </c>
      <c r="G41" s="2" t="s">
        <v>127</v>
      </c>
      <c r="H41" s="2" t="s">
        <v>72</v>
      </c>
      <c r="I41" s="2" t="s">
        <v>129</v>
      </c>
      <c r="J41" s="2" t="s">
        <v>130</v>
      </c>
      <c r="K41" s="63" t="s">
        <v>75</v>
      </c>
      <c r="L41" s="2" t="s">
        <v>75</v>
      </c>
      <c r="M41" s="2" t="s">
        <v>131</v>
      </c>
      <c r="N41" s="68">
        <v>0.58333333333333348</v>
      </c>
      <c r="O41" s="68">
        <v>0.91666666666666674</v>
      </c>
      <c r="P41" s="69">
        <f t="shared" si="4"/>
        <v>7.9999999999999982</v>
      </c>
      <c r="Q41" s="76">
        <v>3</v>
      </c>
      <c r="R41" s="71" t="str">
        <f t="shared" si="7"/>
        <v>3EDMIBERRECHID</v>
      </c>
      <c r="S41" s="72">
        <f>IF(P41="","",P41/VLOOKUP(R41,'Matrice Productivité '!I:J,2,FALSE)/100)</f>
        <v>6.198347107438015E-3</v>
      </c>
      <c r="T41" s="77" t="s">
        <v>132</v>
      </c>
      <c r="U41" s="24" t="s">
        <v>146</v>
      </c>
      <c r="V41" s="63" t="s">
        <v>90</v>
      </c>
      <c r="W41" s="2" t="s">
        <v>147</v>
      </c>
    </row>
    <row r="42" spans="1:23" ht="30">
      <c r="A42" s="63" t="s">
        <v>69</v>
      </c>
      <c r="B42" s="2" t="s">
        <v>105</v>
      </c>
      <c r="C42" s="39">
        <v>46017</v>
      </c>
      <c r="D42" s="65" t="str">
        <f t="shared" si="5"/>
        <v>2025-S52</v>
      </c>
      <c r="E42" s="66" t="str">
        <f t="shared" si="6"/>
        <v>2025-M12</v>
      </c>
      <c r="F42" s="65">
        <f t="shared" si="1"/>
        <v>2025</v>
      </c>
      <c r="G42" s="2" t="s">
        <v>127</v>
      </c>
      <c r="H42" s="2" t="s">
        <v>99</v>
      </c>
      <c r="I42" s="2" t="s">
        <v>129</v>
      </c>
      <c r="J42" s="2" t="s">
        <v>148</v>
      </c>
      <c r="K42" s="63" t="s">
        <v>75</v>
      </c>
      <c r="L42" s="2" t="s">
        <v>75</v>
      </c>
      <c r="M42" s="2" t="s">
        <v>131</v>
      </c>
      <c r="N42" s="68">
        <v>0.58333333333333337</v>
      </c>
      <c r="O42" s="68">
        <v>0.91666666666666663</v>
      </c>
      <c r="P42" s="69">
        <f t="shared" si="4"/>
        <v>7.9999999999999982</v>
      </c>
      <c r="Q42" s="76">
        <v>3</v>
      </c>
      <c r="R42" s="71" t="str">
        <f t="shared" si="7"/>
        <v>3EDMIBERRECHID</v>
      </c>
      <c r="S42" s="72">
        <f>IF(P42="","",P42/VLOOKUP(R42,'Matrice Productivité '!I:J,2,FALSE)/100)</f>
        <v>6.198347107438015E-3</v>
      </c>
      <c r="T42" s="77" t="s">
        <v>132</v>
      </c>
      <c r="U42" s="24" t="s">
        <v>149</v>
      </c>
      <c r="V42" s="63" t="s">
        <v>90</v>
      </c>
      <c r="W42" s="2" t="s">
        <v>147</v>
      </c>
    </row>
    <row r="43" spans="1:23" ht="30">
      <c r="A43" s="63" t="s">
        <v>69</v>
      </c>
      <c r="B43" s="63" t="s">
        <v>70</v>
      </c>
      <c r="C43" s="39">
        <v>46018</v>
      </c>
      <c r="D43" s="65" t="str">
        <f t="shared" si="5"/>
        <v>2025-S52</v>
      </c>
      <c r="E43" s="66" t="str">
        <f t="shared" si="6"/>
        <v>2025-M12</v>
      </c>
      <c r="F43" s="65">
        <f t="shared" si="1"/>
        <v>2025</v>
      </c>
      <c r="G43" s="63" t="s">
        <v>98</v>
      </c>
      <c r="H43" s="63" t="s">
        <v>99</v>
      </c>
      <c r="I43" s="63" t="s">
        <v>150</v>
      </c>
      <c r="J43" s="63" t="s">
        <v>151</v>
      </c>
      <c r="K43" s="63" t="s">
        <v>75</v>
      </c>
      <c r="L43" s="2" t="s">
        <v>75</v>
      </c>
      <c r="M43" s="2" t="s">
        <v>152</v>
      </c>
      <c r="N43" s="68">
        <v>0.875</v>
      </c>
      <c r="O43" s="68">
        <v>0.89208333333333334</v>
      </c>
      <c r="P43" s="69">
        <f t="shared" si="4"/>
        <v>0.41000000000000014</v>
      </c>
      <c r="Q43" s="70">
        <v>3</v>
      </c>
      <c r="R43" s="71" t="str">
        <f t="shared" si="7"/>
        <v>3EDMIBERRECHID</v>
      </c>
      <c r="S43" s="72">
        <f>IF(P43="","",P43/VLOOKUP(R43,'Matrice Productivité '!I:J,2,FALSE)/100)</f>
        <v>3.1766528925619838E-4</v>
      </c>
      <c r="T43" s="24" t="s">
        <v>153</v>
      </c>
      <c r="U43" s="24" t="s">
        <v>154</v>
      </c>
      <c r="V43" s="63" t="s">
        <v>52</v>
      </c>
      <c r="W43" s="2" t="s">
        <v>155</v>
      </c>
    </row>
    <row r="44" spans="1:23" ht="30">
      <c r="A44" s="63" t="s">
        <v>69</v>
      </c>
      <c r="B44" s="63" t="s">
        <v>70</v>
      </c>
      <c r="C44" s="39">
        <v>46018</v>
      </c>
      <c r="D44" s="65" t="str">
        <f t="shared" si="5"/>
        <v>2025-S52</v>
      </c>
      <c r="E44" s="66" t="str">
        <f t="shared" si="6"/>
        <v>2025-M12</v>
      </c>
      <c r="F44" s="65">
        <f t="shared" si="1"/>
        <v>2025</v>
      </c>
      <c r="G44" s="2" t="s">
        <v>156</v>
      </c>
      <c r="H44" s="2" t="s">
        <v>128</v>
      </c>
      <c r="I44" s="63" t="s">
        <v>73</v>
      </c>
      <c r="J44" s="63" t="s">
        <v>123</v>
      </c>
      <c r="K44" s="63" t="s">
        <v>75</v>
      </c>
      <c r="L44" s="2" t="s">
        <v>75</v>
      </c>
      <c r="M44" s="63" t="s">
        <v>94</v>
      </c>
      <c r="N44" s="68">
        <v>0.85416666666666663</v>
      </c>
      <c r="O44" s="68">
        <v>0.875</v>
      </c>
      <c r="P44" s="69">
        <f t="shared" si="4"/>
        <v>0.50000000000000089</v>
      </c>
      <c r="Q44" s="70">
        <v>3</v>
      </c>
      <c r="R44" s="71" t="str">
        <f t="shared" si="7"/>
        <v>3EDMIBERRECHID</v>
      </c>
      <c r="S44" s="72">
        <f>IF(P44="","",P44/VLOOKUP(R44,'Matrice Productivité '!I:J,2,FALSE)/100)</f>
        <v>3.8739669421487669E-4</v>
      </c>
      <c r="T44" s="24" t="s">
        <v>124</v>
      </c>
      <c r="U44" s="24" t="s">
        <v>157</v>
      </c>
      <c r="V44" s="74" t="s">
        <v>33</v>
      </c>
      <c r="W44" s="2" t="s">
        <v>145</v>
      </c>
    </row>
    <row r="45" spans="1:23" ht="30">
      <c r="A45" s="63" t="s">
        <v>69</v>
      </c>
      <c r="B45" s="63" t="s">
        <v>70</v>
      </c>
      <c r="C45" s="39">
        <v>46018</v>
      </c>
      <c r="D45" s="65" t="str">
        <f t="shared" si="5"/>
        <v>2025-S52</v>
      </c>
      <c r="E45" s="66" t="str">
        <f t="shared" si="6"/>
        <v>2025-M12</v>
      </c>
      <c r="F45" s="65">
        <f t="shared" si="1"/>
        <v>2025</v>
      </c>
      <c r="G45" s="2" t="s">
        <v>71</v>
      </c>
      <c r="H45" s="63" t="s">
        <v>72</v>
      </c>
      <c r="I45" s="63" t="s">
        <v>73</v>
      </c>
      <c r="J45" s="63" t="s">
        <v>123</v>
      </c>
      <c r="K45" s="63" t="s">
        <v>75</v>
      </c>
      <c r="L45" s="2" t="s">
        <v>75</v>
      </c>
      <c r="M45" s="63" t="s">
        <v>94</v>
      </c>
      <c r="N45" s="68">
        <v>0.24999999999999997</v>
      </c>
      <c r="O45" s="68">
        <v>0.27083333333333331</v>
      </c>
      <c r="P45" s="69">
        <f t="shared" si="4"/>
        <v>0.50000000000000022</v>
      </c>
      <c r="Q45" s="70">
        <v>3</v>
      </c>
      <c r="R45" s="71" t="str">
        <f t="shared" si="7"/>
        <v>3EDMIBERRECHID</v>
      </c>
      <c r="S45" s="72">
        <f>IF(P45="","",P45/VLOOKUP(R45,'Matrice Productivité '!I:J,2,FALSE)/100)</f>
        <v>3.8739669421487615E-4</v>
      </c>
      <c r="T45" s="24" t="s">
        <v>124</v>
      </c>
      <c r="U45" s="24" t="s">
        <v>125</v>
      </c>
      <c r="V45" s="74" t="s">
        <v>33</v>
      </c>
      <c r="W45" s="2" t="s">
        <v>145</v>
      </c>
    </row>
    <row r="46" spans="1:23" ht="30">
      <c r="A46" s="63" t="s">
        <v>69</v>
      </c>
      <c r="B46" s="63" t="s">
        <v>70</v>
      </c>
      <c r="C46" s="39">
        <v>46018</v>
      </c>
      <c r="D46" s="65" t="str">
        <f t="shared" si="5"/>
        <v>2025-S52</v>
      </c>
      <c r="E46" s="66" t="str">
        <f t="shared" si="6"/>
        <v>2025-M12</v>
      </c>
      <c r="F46" s="65">
        <f t="shared" si="1"/>
        <v>2025</v>
      </c>
      <c r="G46" s="2" t="s">
        <v>71</v>
      </c>
      <c r="H46" s="63" t="s">
        <v>72</v>
      </c>
      <c r="I46" s="2" t="s">
        <v>158</v>
      </c>
      <c r="J46" s="2" t="s">
        <v>159</v>
      </c>
      <c r="K46" s="63" t="s">
        <v>75</v>
      </c>
      <c r="L46" s="2" t="s">
        <v>75</v>
      </c>
      <c r="M46" s="2" t="s">
        <v>160</v>
      </c>
      <c r="N46" s="68">
        <v>0.375</v>
      </c>
      <c r="O46" s="68">
        <v>0.47708333333333336</v>
      </c>
      <c r="P46" s="69">
        <f t="shared" si="4"/>
        <v>2.4500000000000006</v>
      </c>
      <c r="Q46" s="70">
        <v>3</v>
      </c>
      <c r="R46" s="71" t="str">
        <f t="shared" si="7"/>
        <v>3EDMIBERRECHID</v>
      </c>
      <c r="S46" s="72">
        <f>IF(P46="","",P46/VLOOKUP(R46,'Matrice Productivité '!I:J,2,FALSE)/100)</f>
        <v>1.8982438016528929E-3</v>
      </c>
      <c r="T46" s="24" t="s">
        <v>161</v>
      </c>
      <c r="U46" s="24" t="s">
        <v>162</v>
      </c>
      <c r="V46" s="74" t="s">
        <v>33</v>
      </c>
      <c r="W46" s="2" t="s">
        <v>145</v>
      </c>
    </row>
    <row r="47" spans="1:23" ht="42.75">
      <c r="A47" s="63" t="s">
        <v>69</v>
      </c>
      <c r="B47" s="2" t="s">
        <v>105</v>
      </c>
      <c r="C47" s="39">
        <v>46017</v>
      </c>
      <c r="D47" s="65" t="str">
        <f t="shared" si="5"/>
        <v>2025-S52</v>
      </c>
      <c r="E47" s="66" t="str">
        <f t="shared" si="6"/>
        <v>2025-M12</v>
      </c>
      <c r="F47" s="65">
        <f t="shared" si="1"/>
        <v>2025</v>
      </c>
      <c r="G47" s="2" t="s">
        <v>127</v>
      </c>
      <c r="H47" s="2" t="s">
        <v>99</v>
      </c>
      <c r="I47" s="2" t="s">
        <v>129</v>
      </c>
      <c r="J47" s="2" t="s">
        <v>130</v>
      </c>
      <c r="K47" s="63" t="s">
        <v>75</v>
      </c>
      <c r="L47" s="2" t="s">
        <v>75</v>
      </c>
      <c r="M47" s="2" t="s">
        <v>163</v>
      </c>
      <c r="N47" s="68">
        <v>0.25000000000000011</v>
      </c>
      <c r="O47" s="68">
        <v>0.58333333333333337</v>
      </c>
      <c r="P47" s="69">
        <f t="shared" si="4"/>
        <v>7.9999999999999982</v>
      </c>
      <c r="Q47" s="76">
        <v>3</v>
      </c>
      <c r="R47" s="71" t="str">
        <f t="shared" si="7"/>
        <v>3EDMIBERRECHID</v>
      </c>
      <c r="S47" s="72">
        <f>IF(P47="","",P47/VLOOKUP(R47,'Matrice Productivité '!I:J,2,FALSE)/100)</f>
        <v>6.198347107438015E-3</v>
      </c>
      <c r="T47" s="24" t="s">
        <v>164</v>
      </c>
      <c r="U47" s="24" t="s">
        <v>165</v>
      </c>
      <c r="V47" s="63" t="s">
        <v>52</v>
      </c>
      <c r="W47" s="2" t="s">
        <v>166</v>
      </c>
    </row>
    <row r="48" spans="1:23" ht="42.75">
      <c r="A48" s="63" t="s">
        <v>69</v>
      </c>
      <c r="B48" s="2" t="s">
        <v>105</v>
      </c>
      <c r="C48" s="39">
        <v>46018</v>
      </c>
      <c r="D48" s="65" t="str">
        <f t="shared" si="5"/>
        <v>2025-S52</v>
      </c>
      <c r="E48" s="66" t="str">
        <f t="shared" si="6"/>
        <v>2025-M12</v>
      </c>
      <c r="F48" s="65">
        <f t="shared" si="1"/>
        <v>2025</v>
      </c>
      <c r="G48" s="2" t="s">
        <v>127</v>
      </c>
      <c r="H48" s="2" t="s">
        <v>72</v>
      </c>
      <c r="I48" s="2" t="s">
        <v>129</v>
      </c>
      <c r="J48" s="2" t="s">
        <v>130</v>
      </c>
      <c r="K48" s="63" t="s">
        <v>75</v>
      </c>
      <c r="L48" s="2" t="s">
        <v>75</v>
      </c>
      <c r="M48" s="2" t="s">
        <v>163</v>
      </c>
      <c r="N48" s="68">
        <v>0.33333333333333326</v>
      </c>
      <c r="O48" s="68">
        <v>0.57291666666666663</v>
      </c>
      <c r="P48" s="69">
        <f t="shared" si="4"/>
        <v>5.7500000000000009</v>
      </c>
      <c r="Q48" s="76">
        <v>3</v>
      </c>
      <c r="R48" s="71" t="str">
        <f t="shared" si="7"/>
        <v>3EDMIBERRECHID</v>
      </c>
      <c r="S48" s="72">
        <f>IF(P48="","",P48/VLOOKUP(R48,'Matrice Productivité '!I:J,2,FALSE)/100)</f>
        <v>4.4550619834710752E-3</v>
      </c>
      <c r="T48" s="24" t="s">
        <v>167</v>
      </c>
      <c r="U48" s="24" t="s">
        <v>168</v>
      </c>
      <c r="V48" s="63" t="s">
        <v>52</v>
      </c>
      <c r="W48" s="2" t="s">
        <v>166</v>
      </c>
    </row>
    <row r="49" spans="1:23" ht="42.75">
      <c r="A49" s="63" t="s">
        <v>69</v>
      </c>
      <c r="B49" s="2" t="s">
        <v>105</v>
      </c>
      <c r="C49" s="39">
        <v>46019</v>
      </c>
      <c r="D49" s="65" t="str">
        <f t="shared" si="5"/>
        <v>2025-S53</v>
      </c>
      <c r="E49" s="66" t="str">
        <f t="shared" si="6"/>
        <v>2025-M12</v>
      </c>
      <c r="F49" s="65">
        <f t="shared" si="1"/>
        <v>2025</v>
      </c>
      <c r="G49" s="2" t="s">
        <v>127</v>
      </c>
      <c r="H49" s="2" t="s">
        <v>72</v>
      </c>
      <c r="I49" s="2" t="s">
        <v>129</v>
      </c>
      <c r="J49" s="2" t="s">
        <v>130</v>
      </c>
      <c r="K49" s="2" t="s">
        <v>75</v>
      </c>
      <c r="L49" s="2" t="s">
        <v>75</v>
      </c>
      <c r="M49" s="2" t="s">
        <v>163</v>
      </c>
      <c r="N49" s="68">
        <v>0.41666666666666669</v>
      </c>
      <c r="O49" s="68">
        <v>0.56597222222222221</v>
      </c>
      <c r="P49" s="69">
        <f t="shared" si="4"/>
        <v>3.5833333333333326</v>
      </c>
      <c r="Q49" s="76">
        <v>3</v>
      </c>
      <c r="R49" s="71" t="str">
        <f t="shared" si="7"/>
        <v>3EDMIBERRECHID</v>
      </c>
      <c r="S49" s="72">
        <f>IF(P49="","",P49/VLOOKUP(R49,'Matrice Productivité '!I:J,2,FALSE)/100)</f>
        <v>2.7763429752066106E-3</v>
      </c>
      <c r="T49" s="24" t="s">
        <v>164</v>
      </c>
      <c r="U49" s="24" t="s">
        <v>169</v>
      </c>
      <c r="V49" s="63" t="s">
        <v>52</v>
      </c>
      <c r="W49" s="2" t="s">
        <v>166</v>
      </c>
    </row>
    <row r="50" spans="1:23" ht="30">
      <c r="A50" s="63" t="s">
        <v>69</v>
      </c>
      <c r="B50" s="2" t="s">
        <v>105</v>
      </c>
      <c r="C50" s="39">
        <v>46019</v>
      </c>
      <c r="D50" s="65" t="str">
        <f t="shared" si="5"/>
        <v>2025-S53</v>
      </c>
      <c r="E50" s="66" t="str">
        <f t="shared" si="6"/>
        <v>2025-M12</v>
      </c>
      <c r="F50" s="65">
        <f t="shared" si="1"/>
        <v>2025</v>
      </c>
      <c r="G50" s="2" t="s">
        <v>170</v>
      </c>
      <c r="H50" s="2" t="s">
        <v>72</v>
      </c>
      <c r="I50" s="2" t="s">
        <v>171</v>
      </c>
      <c r="J50" s="2" t="s">
        <v>172</v>
      </c>
      <c r="K50" s="2" t="s">
        <v>108</v>
      </c>
      <c r="L50" s="2" t="s">
        <v>108</v>
      </c>
      <c r="M50" s="2" t="s">
        <v>173</v>
      </c>
      <c r="N50" s="68">
        <v>0.51388888888888884</v>
      </c>
      <c r="O50" s="68">
        <v>0.54166666666666663</v>
      </c>
      <c r="P50" s="69">
        <f t="shared" si="4"/>
        <v>0.66666666666666696</v>
      </c>
      <c r="Q50" s="76">
        <v>2</v>
      </c>
      <c r="R50" s="71" t="str">
        <f t="shared" si="7"/>
        <v>2EMSBERRECHID</v>
      </c>
      <c r="S50" s="72">
        <f>IF(P50="","",P50/VLOOKUP(R50,'Matrice Productivité '!I:J,2,FALSE)/100)</f>
        <v>1.2396694214876041E-4</v>
      </c>
      <c r="T50" s="24" t="s">
        <v>144</v>
      </c>
      <c r="U50" s="24" t="s">
        <v>174</v>
      </c>
      <c r="V50" s="74" t="s">
        <v>33</v>
      </c>
      <c r="W50" s="2" t="s">
        <v>145</v>
      </c>
    </row>
    <row r="51" spans="1:23" ht="30">
      <c r="A51" s="63" t="s">
        <v>69</v>
      </c>
      <c r="B51" s="2" t="s">
        <v>105</v>
      </c>
      <c r="C51" s="39">
        <v>46020</v>
      </c>
      <c r="D51" s="65" t="str">
        <f t="shared" si="5"/>
        <v>2025-S53</v>
      </c>
      <c r="E51" s="66" t="str">
        <f t="shared" si="6"/>
        <v>2025-M12</v>
      </c>
      <c r="F51" s="65">
        <f t="shared" si="1"/>
        <v>2025</v>
      </c>
      <c r="G51" s="2" t="s">
        <v>127</v>
      </c>
      <c r="H51" s="2" t="s">
        <v>72</v>
      </c>
      <c r="I51" s="2" t="s">
        <v>129</v>
      </c>
      <c r="J51" s="2" t="s">
        <v>130</v>
      </c>
      <c r="K51" s="2" t="s">
        <v>75</v>
      </c>
      <c r="L51" s="2" t="s">
        <v>75</v>
      </c>
      <c r="M51" s="2" t="s">
        <v>163</v>
      </c>
      <c r="N51" s="68">
        <v>0.51736111111111116</v>
      </c>
      <c r="O51" s="68">
        <v>0.55902777777777779</v>
      </c>
      <c r="P51" s="69">
        <f t="shared" si="4"/>
        <v>0.99999999999999911</v>
      </c>
      <c r="Q51" s="76">
        <v>3</v>
      </c>
      <c r="R51" s="71" t="str">
        <f t="shared" si="7"/>
        <v>3EDMIBERRECHID</v>
      </c>
      <c r="S51" s="72">
        <f>IF(P51="","",P51/VLOOKUP(R51,'Matrice Productivité '!I:J,2,FALSE)/100)</f>
        <v>7.7479338842975133E-4</v>
      </c>
      <c r="T51" s="24" t="s">
        <v>144</v>
      </c>
      <c r="U51" s="24" t="s">
        <v>175</v>
      </c>
      <c r="V51" s="74" t="s">
        <v>33</v>
      </c>
      <c r="W51" s="2" t="s">
        <v>145</v>
      </c>
    </row>
    <row r="52" spans="1:23" ht="30">
      <c r="A52" s="63" t="s">
        <v>69</v>
      </c>
      <c r="B52" s="2" t="s">
        <v>105</v>
      </c>
      <c r="C52" s="39">
        <v>46020</v>
      </c>
      <c r="D52" s="65" t="str">
        <f t="shared" si="5"/>
        <v>2025-S53</v>
      </c>
      <c r="E52" s="66" t="str">
        <f t="shared" si="6"/>
        <v>2025-M12</v>
      </c>
      <c r="F52" s="65">
        <f t="shared" si="1"/>
        <v>2025</v>
      </c>
      <c r="G52" s="2" t="s">
        <v>176</v>
      </c>
      <c r="H52" s="2" t="s">
        <v>72</v>
      </c>
      <c r="I52" s="2" t="s">
        <v>177</v>
      </c>
      <c r="J52" s="2" t="s">
        <v>178</v>
      </c>
      <c r="K52" s="2" t="s">
        <v>75</v>
      </c>
      <c r="L52" s="2" t="s">
        <v>75</v>
      </c>
      <c r="M52" s="2" t="s">
        <v>163</v>
      </c>
      <c r="N52" s="68">
        <v>0.51736111111111116</v>
      </c>
      <c r="O52" s="68">
        <v>0.53819444444444442</v>
      </c>
      <c r="P52" s="69">
        <f t="shared" si="4"/>
        <v>0.49999999999999822</v>
      </c>
      <c r="Q52" s="70">
        <v>3</v>
      </c>
      <c r="R52" s="71" t="str">
        <f t="shared" si="7"/>
        <v>3EDMIBERRECHID</v>
      </c>
      <c r="S52" s="72">
        <f>IF(P52="","",P52/VLOOKUP(R52,'Matrice Productivité '!I:J,2,FALSE)/100)</f>
        <v>3.8739669421487458E-4</v>
      </c>
      <c r="T52" s="24" t="s">
        <v>144</v>
      </c>
      <c r="U52" s="24" t="s">
        <v>175</v>
      </c>
      <c r="V52" s="74" t="s">
        <v>33</v>
      </c>
      <c r="W52" s="2" t="s">
        <v>145</v>
      </c>
    </row>
    <row r="53" spans="1:23" ht="45">
      <c r="A53" s="63" t="s">
        <v>69</v>
      </c>
      <c r="B53" s="2" t="s">
        <v>105</v>
      </c>
      <c r="C53" s="39">
        <v>46020</v>
      </c>
      <c r="D53" s="65" t="str">
        <f t="shared" si="5"/>
        <v>2025-S53</v>
      </c>
      <c r="E53" s="66" t="str">
        <f t="shared" si="6"/>
        <v>2025-M12</v>
      </c>
      <c r="F53" s="65">
        <f t="shared" si="1"/>
        <v>2025</v>
      </c>
      <c r="G53" s="2" t="s">
        <v>106</v>
      </c>
      <c r="H53" s="2" t="s">
        <v>72</v>
      </c>
      <c r="I53" s="2" t="s">
        <v>179</v>
      </c>
      <c r="J53" s="2" t="s">
        <v>180</v>
      </c>
      <c r="K53" s="2" t="s">
        <v>181</v>
      </c>
      <c r="L53" s="63" t="s">
        <v>48</v>
      </c>
      <c r="M53" s="2" t="s">
        <v>182</v>
      </c>
      <c r="N53" s="68">
        <v>0.52083333333333337</v>
      </c>
      <c r="O53" s="68">
        <v>0.54166666666666663</v>
      </c>
      <c r="P53" s="69">
        <f t="shared" si="4"/>
        <v>0.49999999999999822</v>
      </c>
      <c r="Q53" s="70">
        <v>2</v>
      </c>
      <c r="R53" s="71" t="str">
        <f t="shared" si="7"/>
        <v>2LE RESTEBERRECHID</v>
      </c>
      <c r="S53" s="72">
        <f>IF(P53="","",P53/VLOOKUP(R53,'Matrice Productivité '!I:J,2,FALSE)/100)</f>
        <v>1.9369834710743729E-4</v>
      </c>
      <c r="T53" s="24" t="s">
        <v>144</v>
      </c>
      <c r="U53" s="24" t="s">
        <v>174</v>
      </c>
      <c r="V53" s="74" t="s">
        <v>33</v>
      </c>
      <c r="W53" s="2" t="s">
        <v>145</v>
      </c>
    </row>
    <row r="54" spans="1:23" ht="45">
      <c r="A54" s="63" t="s">
        <v>69</v>
      </c>
      <c r="B54" s="2" t="s">
        <v>105</v>
      </c>
      <c r="C54" s="39">
        <v>46020</v>
      </c>
      <c r="D54" s="65" t="str">
        <f t="shared" si="5"/>
        <v>2025-S53</v>
      </c>
      <c r="E54" s="66" t="str">
        <f t="shared" si="6"/>
        <v>2025-M12</v>
      </c>
      <c r="F54" s="65">
        <f t="shared" si="1"/>
        <v>2025</v>
      </c>
      <c r="G54" s="2" t="s">
        <v>106</v>
      </c>
      <c r="H54" s="2" t="s">
        <v>72</v>
      </c>
      <c r="I54" s="2" t="s">
        <v>179</v>
      </c>
      <c r="J54" s="2" t="s">
        <v>183</v>
      </c>
      <c r="K54" s="2" t="s">
        <v>181</v>
      </c>
      <c r="L54" s="63" t="s">
        <v>48</v>
      </c>
      <c r="M54" s="2" t="s">
        <v>184</v>
      </c>
      <c r="N54" s="68">
        <v>0.52083333333333337</v>
      </c>
      <c r="O54" s="68">
        <v>0.54166666666666663</v>
      </c>
      <c r="P54" s="69">
        <f t="shared" si="4"/>
        <v>0.49999999999999822</v>
      </c>
      <c r="Q54" s="70">
        <v>2</v>
      </c>
      <c r="R54" s="71" t="str">
        <f t="shared" si="7"/>
        <v>2LE RESTEBERRECHID</v>
      </c>
      <c r="S54" s="72">
        <f>IF(P54="","",P54/VLOOKUP(R54,'Matrice Productivité '!I:J,2,FALSE)/100)</f>
        <v>1.9369834710743729E-4</v>
      </c>
      <c r="T54" s="24" t="s">
        <v>144</v>
      </c>
      <c r="U54" s="24" t="s">
        <v>174</v>
      </c>
      <c r="V54" s="74" t="s">
        <v>33</v>
      </c>
      <c r="W54" s="2" t="s">
        <v>145</v>
      </c>
    </row>
    <row r="55" spans="1:23" ht="30">
      <c r="A55" s="63" t="s">
        <v>69</v>
      </c>
      <c r="B55" s="2" t="s">
        <v>70</v>
      </c>
      <c r="C55" s="39">
        <v>46021</v>
      </c>
      <c r="D55" s="65" t="str">
        <f t="shared" si="5"/>
        <v>2025-S53</v>
      </c>
      <c r="E55" s="66" t="str">
        <f t="shared" si="6"/>
        <v>2025-M12</v>
      </c>
      <c r="F55" s="65">
        <f t="shared" si="1"/>
        <v>2025</v>
      </c>
      <c r="G55" s="63" t="s">
        <v>98</v>
      </c>
      <c r="H55" s="2" t="s">
        <v>72</v>
      </c>
      <c r="I55" s="2" t="s">
        <v>158</v>
      </c>
      <c r="J55" s="2" t="s">
        <v>159</v>
      </c>
      <c r="K55" s="2" t="s">
        <v>75</v>
      </c>
      <c r="L55" s="2" t="s">
        <v>75</v>
      </c>
      <c r="M55" s="2" t="s">
        <v>163</v>
      </c>
      <c r="N55" s="68">
        <v>0.35416666666666669</v>
      </c>
      <c r="O55" s="68">
        <v>0.40250000000000002</v>
      </c>
      <c r="P55" s="69">
        <f t="shared" si="4"/>
        <v>1.1600000000000001</v>
      </c>
      <c r="Q55" s="70">
        <v>3</v>
      </c>
      <c r="R55" s="71" t="str">
        <f t="shared" si="7"/>
        <v>3EDMIBERRECHID</v>
      </c>
      <c r="S55" s="72">
        <f>IF(P55="","",P55/VLOOKUP(R55,'Matrice Productivité '!I:J,2,FALSE)/100)</f>
        <v>8.9876033057851245E-4</v>
      </c>
      <c r="T55" s="75" t="s">
        <v>88</v>
      </c>
      <c r="U55" s="24" t="s">
        <v>185</v>
      </c>
      <c r="V55" s="74" t="s">
        <v>90</v>
      </c>
      <c r="W55" s="2" t="s">
        <v>186</v>
      </c>
    </row>
    <row r="56" spans="1:23" ht="30">
      <c r="A56" s="63" t="s">
        <v>69</v>
      </c>
      <c r="B56" s="2" t="s">
        <v>70</v>
      </c>
      <c r="C56" s="39">
        <v>46021</v>
      </c>
      <c r="D56" s="65" t="str">
        <f t="shared" si="5"/>
        <v>2025-S53</v>
      </c>
      <c r="E56" s="66" t="str">
        <f t="shared" si="6"/>
        <v>2025-M12</v>
      </c>
      <c r="F56" s="65">
        <f t="shared" si="1"/>
        <v>2025</v>
      </c>
      <c r="G56" s="63" t="s">
        <v>98</v>
      </c>
      <c r="H56" s="2" t="s">
        <v>72</v>
      </c>
      <c r="I56" s="2" t="s">
        <v>100</v>
      </c>
      <c r="J56" s="2" t="s">
        <v>101</v>
      </c>
      <c r="K56" s="2" t="s">
        <v>75</v>
      </c>
      <c r="L56" s="2" t="s">
        <v>75</v>
      </c>
      <c r="M56" s="2" t="s">
        <v>163</v>
      </c>
      <c r="N56" s="68">
        <v>0.34027777777777779</v>
      </c>
      <c r="O56" s="68">
        <v>0.43736111111111114</v>
      </c>
      <c r="P56" s="69">
        <f t="shared" si="4"/>
        <v>2.3300000000000005</v>
      </c>
      <c r="Q56" s="70">
        <v>3</v>
      </c>
      <c r="R56" s="71" t="str">
        <f t="shared" si="7"/>
        <v>3EDMIBERRECHID</v>
      </c>
      <c r="S56" s="72">
        <f>IF(P56="","",P56/VLOOKUP(R56,'Matrice Productivité '!I:J,2,FALSE)/100)</f>
        <v>1.8052685950413225E-3</v>
      </c>
      <c r="T56" s="24" t="s">
        <v>187</v>
      </c>
      <c r="U56" s="24" t="s">
        <v>188</v>
      </c>
      <c r="V56" s="63" t="s">
        <v>52</v>
      </c>
      <c r="W56" s="2" t="s">
        <v>104</v>
      </c>
    </row>
    <row r="57" spans="1:23" ht="30">
      <c r="A57" s="63" t="s">
        <v>69</v>
      </c>
      <c r="B57" s="2" t="s">
        <v>70</v>
      </c>
      <c r="C57" s="39">
        <v>46021</v>
      </c>
      <c r="D57" s="65" t="str">
        <f t="shared" si="5"/>
        <v>2025-S53</v>
      </c>
      <c r="E57" s="66" t="str">
        <f t="shared" si="6"/>
        <v>2025-M12</v>
      </c>
      <c r="F57" s="65">
        <f t="shared" si="1"/>
        <v>2025</v>
      </c>
      <c r="G57" s="63" t="s">
        <v>98</v>
      </c>
      <c r="H57" s="2" t="s">
        <v>72</v>
      </c>
      <c r="I57" s="2" t="s">
        <v>100</v>
      </c>
      <c r="J57" s="2" t="s">
        <v>101</v>
      </c>
      <c r="K57" s="2" t="s">
        <v>75</v>
      </c>
      <c r="L57" s="2" t="s">
        <v>75</v>
      </c>
      <c r="M57" s="2" t="s">
        <v>163</v>
      </c>
      <c r="N57" s="68">
        <v>0.45833333333333326</v>
      </c>
      <c r="O57" s="68">
        <v>0.51374999999999993</v>
      </c>
      <c r="P57" s="69">
        <f t="shared" si="4"/>
        <v>1.33</v>
      </c>
      <c r="Q57" s="70">
        <v>3</v>
      </c>
      <c r="R57" s="71" t="str">
        <f t="shared" si="7"/>
        <v>3EDMIBERRECHID</v>
      </c>
      <c r="S57" s="72">
        <f>IF(P57="","",P57/VLOOKUP(R57,'Matrice Productivité '!I:J,2,FALSE)/100)</f>
        <v>1.0304752066115702E-3</v>
      </c>
      <c r="T57" s="24" t="s">
        <v>187</v>
      </c>
      <c r="U57" s="24" t="s">
        <v>188</v>
      </c>
      <c r="V57" s="63" t="s">
        <v>52</v>
      </c>
      <c r="W57" s="2" t="s">
        <v>104</v>
      </c>
    </row>
    <row r="58" spans="1:23" ht="30">
      <c r="A58" s="63" t="s">
        <v>69</v>
      </c>
      <c r="B58" s="2" t="s">
        <v>70</v>
      </c>
      <c r="C58" s="39">
        <v>46021</v>
      </c>
      <c r="D58" s="65" t="str">
        <f t="shared" si="5"/>
        <v>2025-S53</v>
      </c>
      <c r="E58" s="66" t="str">
        <f t="shared" si="6"/>
        <v>2025-M12</v>
      </c>
      <c r="F58" s="65">
        <f t="shared" si="1"/>
        <v>2025</v>
      </c>
      <c r="G58" s="63" t="s">
        <v>98</v>
      </c>
      <c r="H58" s="2" t="s">
        <v>72</v>
      </c>
      <c r="I58" s="2" t="s">
        <v>100</v>
      </c>
      <c r="J58" s="2" t="s">
        <v>101</v>
      </c>
      <c r="K58" s="2" t="s">
        <v>75</v>
      </c>
      <c r="L58" s="2" t="s">
        <v>75</v>
      </c>
      <c r="M58" s="2" t="s">
        <v>163</v>
      </c>
      <c r="N58" s="68">
        <v>0.52777777777777779</v>
      </c>
      <c r="O58" s="68">
        <v>0.55527777777777776</v>
      </c>
      <c r="P58" s="69">
        <f t="shared" si="4"/>
        <v>0.65999999999999925</v>
      </c>
      <c r="Q58" s="70">
        <v>3</v>
      </c>
      <c r="R58" s="71" t="str">
        <f t="shared" si="7"/>
        <v>3EDMIBERRECHID</v>
      </c>
      <c r="S58" s="72">
        <f>IF(P58="","",P58/VLOOKUP(R58,'Matrice Productivité '!I:J,2,FALSE)/100)</f>
        <v>5.1136363636363575E-4</v>
      </c>
      <c r="T58" s="24" t="s">
        <v>187</v>
      </c>
      <c r="U58" s="24" t="s">
        <v>188</v>
      </c>
      <c r="V58" s="63" t="s">
        <v>52</v>
      </c>
      <c r="W58" s="2" t="s">
        <v>104</v>
      </c>
    </row>
    <row r="59" spans="1:23" ht="30">
      <c r="A59" s="63" t="s">
        <v>69</v>
      </c>
      <c r="B59" s="2" t="s">
        <v>70</v>
      </c>
      <c r="C59" s="39">
        <v>46021</v>
      </c>
      <c r="D59" s="65" t="str">
        <f t="shared" si="5"/>
        <v>2025-S53</v>
      </c>
      <c r="E59" s="66" t="str">
        <f t="shared" si="6"/>
        <v>2025-M12</v>
      </c>
      <c r="F59" s="65">
        <f t="shared" si="1"/>
        <v>2025</v>
      </c>
      <c r="G59" s="63" t="s">
        <v>98</v>
      </c>
      <c r="H59" s="2" t="s">
        <v>72</v>
      </c>
      <c r="I59" s="2" t="s">
        <v>189</v>
      </c>
      <c r="J59" s="2" t="s">
        <v>190</v>
      </c>
      <c r="K59" s="2" t="s">
        <v>75</v>
      </c>
      <c r="L59" s="2" t="s">
        <v>75</v>
      </c>
      <c r="M59" s="2" t="s">
        <v>163</v>
      </c>
      <c r="N59" s="68">
        <v>0.55208333333333337</v>
      </c>
      <c r="O59" s="68">
        <v>0.60041666666666671</v>
      </c>
      <c r="P59" s="69">
        <f t="shared" si="4"/>
        <v>1.1600000000000001</v>
      </c>
      <c r="Q59" s="70">
        <v>3</v>
      </c>
      <c r="R59" s="71" t="str">
        <f t="shared" si="7"/>
        <v>3EDMIBERRECHID</v>
      </c>
      <c r="S59" s="72">
        <f>IF(P59="","",P59/VLOOKUP(R59,'Matrice Productivité '!I:J,2,FALSE)/100)</f>
        <v>8.9876033057851245E-4</v>
      </c>
      <c r="T59" s="24" t="s">
        <v>191</v>
      </c>
      <c r="U59" s="24" t="s">
        <v>192</v>
      </c>
      <c r="V59" s="63" t="s">
        <v>52</v>
      </c>
      <c r="W59" s="2" t="s">
        <v>104</v>
      </c>
    </row>
    <row r="60" spans="1:23" ht="30">
      <c r="A60" s="63" t="s">
        <v>69</v>
      </c>
      <c r="B60" s="2" t="s">
        <v>70</v>
      </c>
      <c r="C60" s="39">
        <v>46021</v>
      </c>
      <c r="D60" s="65" t="str">
        <f t="shared" si="5"/>
        <v>2025-S53</v>
      </c>
      <c r="E60" s="66" t="str">
        <f t="shared" si="6"/>
        <v>2025-M12</v>
      </c>
      <c r="F60" s="65">
        <f t="shared" si="1"/>
        <v>2025</v>
      </c>
      <c r="G60" s="2" t="s">
        <v>156</v>
      </c>
      <c r="H60" s="2" t="s">
        <v>99</v>
      </c>
      <c r="I60" s="2" t="s">
        <v>193</v>
      </c>
      <c r="J60" s="2" t="s">
        <v>194</v>
      </c>
      <c r="K60" s="2" t="s">
        <v>75</v>
      </c>
      <c r="L60" s="2" t="s">
        <v>75</v>
      </c>
      <c r="M60" s="2" t="s">
        <v>163</v>
      </c>
      <c r="N60" s="68">
        <v>0.65972222222222221</v>
      </c>
      <c r="O60" s="68">
        <v>0.70805555555555555</v>
      </c>
      <c r="P60" s="69">
        <f t="shared" si="4"/>
        <v>1.1600000000000001</v>
      </c>
      <c r="Q60" s="70">
        <v>3</v>
      </c>
      <c r="R60" s="71" t="str">
        <f t="shared" si="7"/>
        <v>3EDMIBERRECHID</v>
      </c>
      <c r="S60" s="72">
        <f>IF(P60="","",P60/VLOOKUP(R60,'Matrice Productivité '!I:J,2,FALSE)/100)</f>
        <v>8.9876033057851245E-4</v>
      </c>
      <c r="T60" s="24" t="s">
        <v>195</v>
      </c>
      <c r="U60" s="24" t="s">
        <v>196</v>
      </c>
      <c r="V60" s="63" t="s">
        <v>52</v>
      </c>
      <c r="W60" s="2" t="s">
        <v>197</v>
      </c>
    </row>
    <row r="61" spans="1:23" ht="30">
      <c r="A61" s="63" t="s">
        <v>69</v>
      </c>
      <c r="B61" s="2" t="s">
        <v>70</v>
      </c>
      <c r="C61" s="39">
        <v>46021</v>
      </c>
      <c r="D61" s="65" t="str">
        <f t="shared" si="5"/>
        <v>2025-S53</v>
      </c>
      <c r="E61" s="66" t="str">
        <f t="shared" si="6"/>
        <v>2025-M12</v>
      </c>
      <c r="F61" s="65">
        <f t="shared" si="1"/>
        <v>2025</v>
      </c>
      <c r="G61" s="2" t="s">
        <v>156</v>
      </c>
      <c r="H61" s="2" t="s">
        <v>99</v>
      </c>
      <c r="I61" s="2" t="s">
        <v>198</v>
      </c>
      <c r="J61" s="2" t="s">
        <v>199</v>
      </c>
      <c r="K61" s="2" t="s">
        <v>75</v>
      </c>
      <c r="L61" s="2" t="s">
        <v>75</v>
      </c>
      <c r="M61" s="2" t="s">
        <v>163</v>
      </c>
      <c r="N61" s="68">
        <v>0.65972222222222221</v>
      </c>
      <c r="O61" s="68">
        <v>0.70805555555555555</v>
      </c>
      <c r="P61" s="69">
        <f t="shared" si="4"/>
        <v>1.1600000000000001</v>
      </c>
      <c r="Q61" s="70">
        <v>3</v>
      </c>
      <c r="R61" s="71" t="str">
        <f t="shared" si="7"/>
        <v>3EDMIBERRECHID</v>
      </c>
      <c r="S61" s="72">
        <f>IF(P61="","",P61/VLOOKUP(R61,'Matrice Productivité '!I:J,2,FALSE)/100)</f>
        <v>8.9876033057851245E-4</v>
      </c>
      <c r="T61" s="24" t="s">
        <v>200</v>
      </c>
      <c r="U61" s="24" t="s">
        <v>201</v>
      </c>
      <c r="V61" s="63" t="s">
        <v>52</v>
      </c>
      <c r="W61" s="2" t="s">
        <v>202</v>
      </c>
    </row>
    <row r="62" spans="1:23" ht="30">
      <c r="A62" s="63" t="s">
        <v>69</v>
      </c>
      <c r="B62" s="2" t="s">
        <v>70</v>
      </c>
      <c r="C62" s="39">
        <v>46021</v>
      </c>
      <c r="D62" s="65" t="str">
        <f t="shared" si="5"/>
        <v>2025-S53</v>
      </c>
      <c r="E62" s="66" t="str">
        <f t="shared" si="6"/>
        <v>2025-M12</v>
      </c>
      <c r="F62" s="65">
        <f t="shared" si="1"/>
        <v>2025</v>
      </c>
      <c r="G62" s="2" t="s">
        <v>156</v>
      </c>
      <c r="H62" s="2" t="s">
        <v>99</v>
      </c>
      <c r="I62" s="2" t="s">
        <v>100</v>
      </c>
      <c r="J62" s="2" t="s">
        <v>101</v>
      </c>
      <c r="K62" s="2" t="s">
        <v>75</v>
      </c>
      <c r="L62" s="2" t="s">
        <v>75</v>
      </c>
      <c r="M62" s="2" t="s">
        <v>163</v>
      </c>
      <c r="N62" s="68">
        <v>0.58333333333333337</v>
      </c>
      <c r="O62" s="68">
        <v>0.63166666666666671</v>
      </c>
      <c r="P62" s="69">
        <f t="shared" si="4"/>
        <v>1.1600000000000001</v>
      </c>
      <c r="Q62" s="70">
        <v>3</v>
      </c>
      <c r="R62" s="71" t="str">
        <f t="shared" si="7"/>
        <v>3EDMIBERRECHID</v>
      </c>
      <c r="S62" s="72">
        <f>IF(P62="","",P62/VLOOKUP(R62,'Matrice Productivité '!I:J,2,FALSE)/100)</f>
        <v>8.9876033057851245E-4</v>
      </c>
      <c r="T62" s="24" t="s">
        <v>203</v>
      </c>
      <c r="U62" s="24" t="s">
        <v>204</v>
      </c>
      <c r="V62" s="63" t="s">
        <v>52</v>
      </c>
      <c r="W62" s="2" t="s">
        <v>104</v>
      </c>
    </row>
    <row r="63" spans="1:23" ht="30">
      <c r="A63" s="63" t="s">
        <v>69</v>
      </c>
      <c r="B63" s="2" t="s">
        <v>70</v>
      </c>
      <c r="C63" s="39">
        <v>46022</v>
      </c>
      <c r="D63" s="65" t="str">
        <f t="shared" si="5"/>
        <v>2025-S53</v>
      </c>
      <c r="E63" s="66" t="str">
        <f t="shared" si="6"/>
        <v>2025-M12</v>
      </c>
      <c r="F63" s="65">
        <f t="shared" si="1"/>
        <v>2025</v>
      </c>
      <c r="G63" s="2" t="s">
        <v>71</v>
      </c>
      <c r="H63" s="2" t="s">
        <v>128</v>
      </c>
      <c r="I63" s="2" t="s">
        <v>198</v>
      </c>
      <c r="J63" s="2" t="s">
        <v>199</v>
      </c>
      <c r="K63" s="2" t="s">
        <v>75</v>
      </c>
      <c r="L63" s="2" t="s">
        <v>75</v>
      </c>
      <c r="M63" s="2" t="s">
        <v>163</v>
      </c>
      <c r="N63" s="68">
        <v>8.3333333333333315E-2</v>
      </c>
      <c r="O63" s="68">
        <v>0.13166666666666665</v>
      </c>
      <c r="P63" s="69">
        <f t="shared" si="4"/>
        <v>1.1600000000000001</v>
      </c>
      <c r="Q63" s="70">
        <v>3</v>
      </c>
      <c r="R63" s="71" t="str">
        <f t="shared" si="7"/>
        <v>3EDMIBERRECHID</v>
      </c>
      <c r="S63" s="72">
        <f>IF(P63="","",P63/VLOOKUP(R63,'Matrice Productivité '!I:J,2,FALSE)/100)</f>
        <v>8.9876033057851245E-4</v>
      </c>
      <c r="T63" s="24" t="s">
        <v>205</v>
      </c>
      <c r="U63" s="24" t="s">
        <v>206</v>
      </c>
      <c r="V63" s="63" t="s">
        <v>52</v>
      </c>
      <c r="W63" s="2" t="s">
        <v>207</v>
      </c>
    </row>
    <row r="64" spans="1:23" ht="30">
      <c r="A64" s="63" t="s">
        <v>69</v>
      </c>
      <c r="B64" s="2" t="s">
        <v>105</v>
      </c>
      <c r="C64" s="39">
        <v>46021</v>
      </c>
      <c r="D64" s="65" t="str">
        <f t="shared" si="5"/>
        <v>2025-S53</v>
      </c>
      <c r="E64" s="66" t="str">
        <f t="shared" si="6"/>
        <v>2025-M12</v>
      </c>
      <c r="F64" s="65">
        <f t="shared" ref="F64:F122" si="8">YEAR(C64)</f>
        <v>2025</v>
      </c>
      <c r="G64" s="2" t="s">
        <v>127</v>
      </c>
      <c r="H64" s="2" t="s">
        <v>128</v>
      </c>
      <c r="I64" s="2" t="s">
        <v>129</v>
      </c>
      <c r="J64" s="2" t="s">
        <v>130</v>
      </c>
      <c r="K64" s="2" t="s">
        <v>75</v>
      </c>
      <c r="L64" s="2" t="s">
        <v>75</v>
      </c>
      <c r="M64" s="2" t="s">
        <v>131</v>
      </c>
      <c r="N64" s="68">
        <v>0.91666666666666663</v>
      </c>
      <c r="O64" s="68">
        <v>7.9166666666666607E-2</v>
      </c>
      <c r="P64" s="69">
        <f>(O64-N64)*24+24</f>
        <v>3.8999999999999986</v>
      </c>
      <c r="Q64" s="2">
        <v>3</v>
      </c>
      <c r="R64" s="71" t="str">
        <f t="shared" si="7"/>
        <v>3EDMIBERRECHID</v>
      </c>
      <c r="S64" s="72">
        <f>IF(P64="","",P64/VLOOKUP(R64,'Matrice Productivité '!I:J,2,FALSE)/100)</f>
        <v>3.0216942148760316E-3</v>
      </c>
      <c r="T64" s="77" t="s">
        <v>132</v>
      </c>
      <c r="U64" s="24" t="s">
        <v>208</v>
      </c>
      <c r="V64" s="63" t="s">
        <v>90</v>
      </c>
      <c r="W64" s="2" t="s">
        <v>134</v>
      </c>
    </row>
    <row r="65" spans="1:23" ht="30">
      <c r="A65" s="63" t="s">
        <v>69</v>
      </c>
      <c r="B65" s="2" t="s">
        <v>105</v>
      </c>
      <c r="C65" s="39">
        <v>46021</v>
      </c>
      <c r="D65" s="65" t="str">
        <f t="shared" si="5"/>
        <v>2025-S53</v>
      </c>
      <c r="E65" s="66" t="str">
        <f t="shared" ref="E65:E75" si="9">YEAR(C65)&amp;"-M"&amp;MONTH(C65)</f>
        <v>2025-M12</v>
      </c>
      <c r="F65" s="65">
        <f t="shared" si="8"/>
        <v>2025</v>
      </c>
      <c r="G65" s="2" t="s">
        <v>127</v>
      </c>
      <c r="H65" s="2" t="s">
        <v>72</v>
      </c>
      <c r="I65" s="2" t="s">
        <v>129</v>
      </c>
      <c r="J65" s="2" t="s">
        <v>130</v>
      </c>
      <c r="K65" s="2" t="s">
        <v>75</v>
      </c>
      <c r="L65" s="2" t="s">
        <v>75</v>
      </c>
      <c r="M65" s="2" t="s">
        <v>131</v>
      </c>
      <c r="N65" s="68">
        <v>0.25</v>
      </c>
      <c r="O65" s="68">
        <v>0.34722222222222221</v>
      </c>
      <c r="P65" s="69">
        <f t="shared" si="4"/>
        <v>2.333333333333333</v>
      </c>
      <c r="Q65" s="2">
        <v>3</v>
      </c>
      <c r="R65" s="71" t="str">
        <f t="shared" si="7"/>
        <v>3EDMIBERRECHID</v>
      </c>
      <c r="S65" s="72">
        <f>IF(P65="","",P65/VLOOKUP(R65,'Matrice Productivité '!I:J,2,FALSE)/100)</f>
        <v>1.8078512396694211E-3</v>
      </c>
      <c r="T65" s="24" t="s">
        <v>209</v>
      </c>
      <c r="U65" s="24" t="s">
        <v>210</v>
      </c>
      <c r="V65" s="63" t="s">
        <v>52</v>
      </c>
      <c r="W65" s="2" t="s">
        <v>137</v>
      </c>
    </row>
    <row r="66" spans="1:23" ht="30">
      <c r="A66" s="63" t="s">
        <v>69</v>
      </c>
      <c r="B66" s="2" t="s">
        <v>105</v>
      </c>
      <c r="C66" s="39">
        <v>46021</v>
      </c>
      <c r="D66" s="65" t="str">
        <f t="shared" si="5"/>
        <v>2025-S53</v>
      </c>
      <c r="E66" s="66" t="str">
        <f t="shared" si="9"/>
        <v>2025-M12</v>
      </c>
      <c r="F66" s="65">
        <f t="shared" si="8"/>
        <v>2025</v>
      </c>
      <c r="G66" s="2" t="s">
        <v>127</v>
      </c>
      <c r="H66" s="2" t="s">
        <v>99</v>
      </c>
      <c r="I66" s="2" t="s">
        <v>129</v>
      </c>
      <c r="J66" s="2" t="s">
        <v>130</v>
      </c>
      <c r="K66" s="2" t="s">
        <v>75</v>
      </c>
      <c r="L66" s="2" t="s">
        <v>75</v>
      </c>
      <c r="M66" s="2" t="s">
        <v>131</v>
      </c>
      <c r="N66" s="68">
        <v>0.58333333333333337</v>
      </c>
      <c r="O66" s="68">
        <v>0.60069444444444442</v>
      </c>
      <c r="P66" s="69">
        <f t="shared" si="4"/>
        <v>0.41666666666666519</v>
      </c>
      <c r="Q66" s="2">
        <v>3</v>
      </c>
      <c r="R66" s="71" t="str">
        <f t="shared" ref="R66:R97" si="10">Q66&amp;L66&amp;A66</f>
        <v>3EDMIBERRECHID</v>
      </c>
      <c r="S66" s="72">
        <f>IF(P66="","",P66/VLOOKUP(R66,'Matrice Productivité '!I:J,2,FALSE)/100)</f>
        <v>3.2283057851239546E-4</v>
      </c>
      <c r="T66" s="77" t="s">
        <v>132</v>
      </c>
      <c r="U66" s="24" t="s">
        <v>211</v>
      </c>
      <c r="V66" s="63" t="s">
        <v>90</v>
      </c>
      <c r="W66" s="2" t="s">
        <v>136</v>
      </c>
    </row>
    <row r="67" spans="1:23" ht="30">
      <c r="A67" s="63" t="s">
        <v>69</v>
      </c>
      <c r="B67" s="2" t="s">
        <v>105</v>
      </c>
      <c r="C67" s="39">
        <v>46022</v>
      </c>
      <c r="D67" s="65" t="str">
        <f t="shared" si="5"/>
        <v>2025-S53</v>
      </c>
      <c r="E67" s="66" t="str">
        <f t="shared" si="9"/>
        <v>2025-M12</v>
      </c>
      <c r="F67" s="65">
        <f t="shared" si="8"/>
        <v>2025</v>
      </c>
      <c r="G67" s="2" t="s">
        <v>127</v>
      </c>
      <c r="H67" s="2" t="s">
        <v>128</v>
      </c>
      <c r="I67" s="2" t="s">
        <v>129</v>
      </c>
      <c r="J67" s="2" t="s">
        <v>130</v>
      </c>
      <c r="K67" s="2" t="s">
        <v>75</v>
      </c>
      <c r="L67" s="2" t="s">
        <v>75</v>
      </c>
      <c r="M67" s="2" t="s">
        <v>131</v>
      </c>
      <c r="N67" s="68">
        <v>0.91666666666666663</v>
      </c>
      <c r="O67" s="68">
        <v>0.96180555555555558</v>
      </c>
      <c r="P67" s="69">
        <f t="shared" ref="P67:P128" si="11">(O67-N67)*24</f>
        <v>1.0833333333333348</v>
      </c>
      <c r="Q67" s="2">
        <v>3</v>
      </c>
      <c r="R67" s="71" t="str">
        <f t="shared" si="10"/>
        <v>3EDMIBERRECHID</v>
      </c>
      <c r="S67" s="72">
        <f>IF(P67="","",P67/VLOOKUP(R67,'Matrice Productivité '!I:J,2,FALSE)/100)</f>
        <v>8.393595041322324E-4</v>
      </c>
      <c r="T67" s="77" t="s">
        <v>132</v>
      </c>
      <c r="U67" s="24" t="s">
        <v>211</v>
      </c>
      <c r="V67" s="63" t="s">
        <v>90</v>
      </c>
      <c r="W67" s="2" t="s">
        <v>134</v>
      </c>
    </row>
    <row r="68" spans="1:23" ht="45">
      <c r="A68" s="63" t="s">
        <v>69</v>
      </c>
      <c r="B68" s="2" t="s">
        <v>105</v>
      </c>
      <c r="C68" s="39">
        <v>46022</v>
      </c>
      <c r="D68" s="65" t="str">
        <f t="shared" si="5"/>
        <v>2025-S53</v>
      </c>
      <c r="E68" s="66" t="str">
        <f t="shared" si="9"/>
        <v>2025-M12</v>
      </c>
      <c r="F68" s="65">
        <f t="shared" si="8"/>
        <v>2025</v>
      </c>
      <c r="G68" s="2" t="s">
        <v>138</v>
      </c>
      <c r="H68" s="2" t="s">
        <v>72</v>
      </c>
      <c r="I68" s="2" t="s">
        <v>129</v>
      </c>
      <c r="J68" s="2" t="s">
        <v>212</v>
      </c>
      <c r="K68" s="2" t="s">
        <v>213</v>
      </c>
      <c r="L68" s="2" t="s">
        <v>48</v>
      </c>
      <c r="M68" s="2" t="s">
        <v>214</v>
      </c>
      <c r="N68" s="68">
        <v>0.25</v>
      </c>
      <c r="O68" s="68">
        <v>0.33333333333333331</v>
      </c>
      <c r="P68" s="69">
        <f t="shared" si="11"/>
        <v>1.9999999999999996</v>
      </c>
      <c r="Q68" s="70">
        <v>2</v>
      </c>
      <c r="R68" s="71" t="str">
        <f t="shared" si="10"/>
        <v>2LE RESTEBERRECHID</v>
      </c>
      <c r="S68" s="72">
        <f>IF(P68="","",P68/VLOOKUP(R68,'Matrice Productivité '!I:J,2,FALSE)/100)</f>
        <v>7.7479338842975187E-4</v>
      </c>
      <c r="T68" s="24" t="s">
        <v>215</v>
      </c>
      <c r="U68" s="24" t="s">
        <v>216</v>
      </c>
      <c r="V68" s="74" t="s">
        <v>33</v>
      </c>
      <c r="W68" s="78" t="s">
        <v>217</v>
      </c>
    </row>
    <row r="69" spans="1:23" ht="30">
      <c r="A69" s="63" t="s">
        <v>69</v>
      </c>
      <c r="B69" s="2" t="s">
        <v>105</v>
      </c>
      <c r="C69" s="39">
        <v>46022</v>
      </c>
      <c r="D69" s="65" t="str">
        <f t="shared" si="5"/>
        <v>2025-S53</v>
      </c>
      <c r="E69" s="66" t="str">
        <f t="shared" si="9"/>
        <v>2025-M12</v>
      </c>
      <c r="F69" s="65">
        <f t="shared" si="8"/>
        <v>2025</v>
      </c>
      <c r="G69" s="2" t="s">
        <v>127</v>
      </c>
      <c r="H69" s="2" t="s">
        <v>72</v>
      </c>
      <c r="I69" s="2" t="s">
        <v>129</v>
      </c>
      <c r="J69" s="2" t="s">
        <v>130</v>
      </c>
      <c r="K69" s="2" t="s">
        <v>75</v>
      </c>
      <c r="L69" s="2" t="s">
        <v>75</v>
      </c>
      <c r="M69" s="2" t="s">
        <v>131</v>
      </c>
      <c r="N69" s="68">
        <v>0.25</v>
      </c>
      <c r="O69" s="68">
        <v>0.30208333333333331</v>
      </c>
      <c r="P69" s="69">
        <f t="shared" si="11"/>
        <v>1.2499999999999996</v>
      </c>
      <c r="Q69" s="2">
        <v>3</v>
      </c>
      <c r="R69" s="71" t="str">
        <f t="shared" si="10"/>
        <v>3EDMIBERRECHID</v>
      </c>
      <c r="S69" s="72">
        <f>IF(P69="","",P69/VLOOKUP(R69,'Matrice Productivité '!I:J,2,FALSE)/100)</f>
        <v>9.6849173553718968E-4</v>
      </c>
      <c r="T69" s="77" t="s">
        <v>132</v>
      </c>
      <c r="U69" s="24" t="s">
        <v>211</v>
      </c>
      <c r="V69" s="63" t="s">
        <v>90</v>
      </c>
      <c r="W69" s="2" t="s">
        <v>218</v>
      </c>
    </row>
    <row r="70" spans="1:23" ht="30">
      <c r="A70" s="63" t="s">
        <v>69</v>
      </c>
      <c r="B70" s="2" t="s">
        <v>70</v>
      </c>
      <c r="C70" s="39">
        <v>46022</v>
      </c>
      <c r="D70" s="65" t="str">
        <f t="shared" si="5"/>
        <v>2025-S53</v>
      </c>
      <c r="E70" s="66" t="str">
        <f t="shared" si="9"/>
        <v>2025-M12</v>
      </c>
      <c r="F70" s="65">
        <f t="shared" si="8"/>
        <v>2025</v>
      </c>
      <c r="G70" s="63" t="s">
        <v>98</v>
      </c>
      <c r="H70" s="2" t="s">
        <v>72</v>
      </c>
      <c r="I70" s="2" t="s">
        <v>219</v>
      </c>
      <c r="J70" s="2" t="s">
        <v>220</v>
      </c>
      <c r="K70" s="2" t="s">
        <v>75</v>
      </c>
      <c r="L70" s="2" t="s">
        <v>75</v>
      </c>
      <c r="M70" s="2" t="s">
        <v>163</v>
      </c>
      <c r="N70" s="68">
        <v>0.3576388888888889</v>
      </c>
      <c r="O70" s="68">
        <v>0.43055555555555558</v>
      </c>
      <c r="P70" s="69">
        <f t="shared" si="11"/>
        <v>1.7500000000000004</v>
      </c>
      <c r="Q70" s="70">
        <v>3</v>
      </c>
      <c r="R70" s="71" t="str">
        <f t="shared" si="10"/>
        <v>3EDMIBERRECHID</v>
      </c>
      <c r="S70" s="72">
        <f>IF(P70="","",P70/VLOOKUP(R70,'Matrice Productivité '!I:J,2,FALSE)/100)</f>
        <v>1.3558884297520662E-3</v>
      </c>
      <c r="T70" s="75" t="s">
        <v>88</v>
      </c>
      <c r="U70" s="79" t="s">
        <v>185</v>
      </c>
      <c r="V70" s="74" t="s">
        <v>90</v>
      </c>
      <c r="W70" s="2" t="s">
        <v>186</v>
      </c>
    </row>
    <row r="71" spans="1:23" ht="30">
      <c r="A71" s="63" t="s">
        <v>69</v>
      </c>
      <c r="B71" s="2" t="s">
        <v>70</v>
      </c>
      <c r="C71" s="39">
        <v>46022</v>
      </c>
      <c r="D71" s="65" t="str">
        <f t="shared" si="5"/>
        <v>2025-S53</v>
      </c>
      <c r="E71" s="66" t="str">
        <f t="shared" si="9"/>
        <v>2025-M12</v>
      </c>
      <c r="F71" s="65">
        <f t="shared" si="8"/>
        <v>2025</v>
      </c>
      <c r="G71" s="63" t="s">
        <v>98</v>
      </c>
      <c r="H71" s="2" t="s">
        <v>72</v>
      </c>
      <c r="I71" s="2" t="s">
        <v>221</v>
      </c>
      <c r="J71" s="2" t="s">
        <v>199</v>
      </c>
      <c r="K71" s="2" t="s">
        <v>75</v>
      </c>
      <c r="L71" s="2" t="s">
        <v>75</v>
      </c>
      <c r="M71" s="2" t="s">
        <v>163</v>
      </c>
      <c r="N71" s="68">
        <v>0.25</v>
      </c>
      <c r="O71" s="68">
        <v>0.34375</v>
      </c>
      <c r="P71" s="69">
        <f t="shared" si="11"/>
        <v>2.25</v>
      </c>
      <c r="Q71" s="70">
        <v>3</v>
      </c>
      <c r="R71" s="71" t="str">
        <f t="shared" si="10"/>
        <v>3EDMIBERRECHID</v>
      </c>
      <c r="S71" s="72">
        <f>IF(P71="","",P71/VLOOKUP(R71,'Matrice Productivité '!I:J,2,FALSE)/100)</f>
        <v>1.743285123966942E-3</v>
      </c>
      <c r="T71" s="80" t="s">
        <v>222</v>
      </c>
      <c r="U71" s="80" t="s">
        <v>223</v>
      </c>
      <c r="V71" s="63" t="s">
        <v>52</v>
      </c>
      <c r="W71" s="2" t="s">
        <v>104</v>
      </c>
    </row>
    <row r="72" spans="1:23" ht="30">
      <c r="A72" s="63" t="s">
        <v>69</v>
      </c>
      <c r="B72" s="2" t="s">
        <v>70</v>
      </c>
      <c r="C72" s="39">
        <v>46022</v>
      </c>
      <c r="D72" s="65" t="str">
        <f t="shared" si="5"/>
        <v>2025-S53</v>
      </c>
      <c r="E72" s="66" t="str">
        <f t="shared" si="9"/>
        <v>2025-M12</v>
      </c>
      <c r="F72" s="65">
        <f t="shared" si="8"/>
        <v>2025</v>
      </c>
      <c r="G72" s="63" t="s">
        <v>98</v>
      </c>
      <c r="H72" s="2" t="s">
        <v>72</v>
      </c>
      <c r="I72" s="2" t="s">
        <v>224</v>
      </c>
      <c r="J72" s="2" t="s">
        <v>225</v>
      </c>
      <c r="K72" s="2" t="s">
        <v>75</v>
      </c>
      <c r="L72" s="2" t="s">
        <v>75</v>
      </c>
      <c r="M72" s="2" t="s">
        <v>226</v>
      </c>
      <c r="N72" s="68">
        <v>0.25</v>
      </c>
      <c r="O72" s="68">
        <v>0.35416666666666669</v>
      </c>
      <c r="P72" s="69">
        <f t="shared" si="11"/>
        <v>2.5000000000000004</v>
      </c>
      <c r="Q72" s="70">
        <v>3</v>
      </c>
      <c r="R72" s="71" t="str">
        <f t="shared" si="10"/>
        <v>3EDMIBERRECHID</v>
      </c>
      <c r="S72" s="72">
        <f>IF(P72="","",P72/VLOOKUP(R72,'Matrice Productivité '!I:J,2,FALSE)/100)</f>
        <v>1.9369834710743802E-3</v>
      </c>
      <c r="T72" s="80" t="s">
        <v>227</v>
      </c>
      <c r="U72" s="80" t="s">
        <v>228</v>
      </c>
      <c r="V72" s="63" t="s">
        <v>52</v>
      </c>
      <c r="W72" s="2" t="s">
        <v>104</v>
      </c>
    </row>
    <row r="73" spans="1:23" ht="30">
      <c r="A73" s="63" t="s">
        <v>69</v>
      </c>
      <c r="B73" s="2" t="s">
        <v>105</v>
      </c>
      <c r="C73" s="39">
        <v>46022</v>
      </c>
      <c r="D73" s="65" t="str">
        <f t="shared" si="5"/>
        <v>2025-S53</v>
      </c>
      <c r="E73" s="66" t="str">
        <f t="shared" si="9"/>
        <v>2025-M12</v>
      </c>
      <c r="F73" s="65">
        <f t="shared" si="8"/>
        <v>2025</v>
      </c>
      <c r="G73" s="2" t="s">
        <v>106</v>
      </c>
      <c r="H73" s="2" t="s">
        <v>72</v>
      </c>
      <c r="I73" s="2" t="s">
        <v>179</v>
      </c>
      <c r="J73" s="2" t="s">
        <v>183</v>
      </c>
      <c r="K73" s="2" t="s">
        <v>108</v>
      </c>
      <c r="L73" s="2" t="s">
        <v>108</v>
      </c>
      <c r="M73" s="2" t="s">
        <v>229</v>
      </c>
      <c r="N73" s="68">
        <v>0.35416666666666669</v>
      </c>
      <c r="O73" s="68">
        <v>0.41666666666666669</v>
      </c>
      <c r="P73" s="69">
        <f t="shared" si="11"/>
        <v>1.5</v>
      </c>
      <c r="Q73" s="2">
        <v>2</v>
      </c>
      <c r="R73" s="71" t="str">
        <f t="shared" si="10"/>
        <v>2EMSBERRECHID</v>
      </c>
      <c r="S73" s="72">
        <f>IF(P73="","",P73/VLOOKUP(R73,'Matrice Productivité '!I:J,2,FALSE)/100)</f>
        <v>2.7892561983471081E-4</v>
      </c>
      <c r="T73" s="24" t="s">
        <v>230</v>
      </c>
      <c r="U73" s="24" t="s">
        <v>231</v>
      </c>
      <c r="V73" s="74" t="s">
        <v>33</v>
      </c>
      <c r="W73" s="2" t="s">
        <v>112</v>
      </c>
    </row>
    <row r="74" spans="1:23" ht="30">
      <c r="A74" s="63" t="s">
        <v>69</v>
      </c>
      <c r="B74" s="2" t="s">
        <v>70</v>
      </c>
      <c r="C74" s="39">
        <v>46022</v>
      </c>
      <c r="D74" s="65" t="str">
        <f t="shared" si="5"/>
        <v>2025-S53</v>
      </c>
      <c r="E74" s="66" t="str">
        <f t="shared" si="9"/>
        <v>2025-M12</v>
      </c>
      <c r="F74" s="65">
        <f t="shared" si="8"/>
        <v>2025</v>
      </c>
      <c r="G74" s="63" t="s">
        <v>98</v>
      </c>
      <c r="H74" s="2" t="s">
        <v>72</v>
      </c>
      <c r="I74" s="2" t="s">
        <v>100</v>
      </c>
      <c r="J74" s="2" t="s">
        <v>101</v>
      </c>
      <c r="K74" s="2" t="s">
        <v>75</v>
      </c>
      <c r="L74" s="2" t="s">
        <v>75</v>
      </c>
      <c r="M74" s="2" t="s">
        <v>163</v>
      </c>
      <c r="N74" s="68">
        <v>0.3888888888888889</v>
      </c>
      <c r="O74" s="68">
        <v>0.45833333333333331</v>
      </c>
      <c r="P74" s="69">
        <f t="shared" si="11"/>
        <v>1.6666666666666661</v>
      </c>
      <c r="Q74" s="70">
        <v>3</v>
      </c>
      <c r="R74" s="71" t="str">
        <f t="shared" si="10"/>
        <v>3EDMIBERRECHID</v>
      </c>
      <c r="S74" s="72">
        <f>IF(P74="","",P74/VLOOKUP(R74,'Matrice Productivité '!I:J,2,FALSE)/100)</f>
        <v>1.2913223140495862E-3</v>
      </c>
      <c r="T74" s="24" t="s">
        <v>187</v>
      </c>
      <c r="U74" s="24" t="s">
        <v>232</v>
      </c>
      <c r="V74" s="63" t="s">
        <v>52</v>
      </c>
      <c r="W74" s="2" t="s">
        <v>104</v>
      </c>
    </row>
    <row r="75" spans="1:23" ht="30">
      <c r="A75" s="63" t="s">
        <v>69</v>
      </c>
      <c r="B75" s="2" t="s">
        <v>105</v>
      </c>
      <c r="C75" s="39">
        <v>46022</v>
      </c>
      <c r="D75" s="65" t="str">
        <f t="shared" si="5"/>
        <v>2025-S53</v>
      </c>
      <c r="E75" s="66" t="str">
        <f t="shared" si="9"/>
        <v>2025-M12</v>
      </c>
      <c r="F75" s="65">
        <f t="shared" si="8"/>
        <v>2025</v>
      </c>
      <c r="G75" s="2" t="s">
        <v>127</v>
      </c>
      <c r="H75" s="2" t="s">
        <v>99</v>
      </c>
      <c r="I75" s="2" t="s">
        <v>129</v>
      </c>
      <c r="J75" s="2" t="s">
        <v>130</v>
      </c>
      <c r="K75" s="2" t="s">
        <v>75</v>
      </c>
      <c r="L75" s="2" t="s">
        <v>75</v>
      </c>
      <c r="M75" s="2" t="s">
        <v>131</v>
      </c>
      <c r="N75" s="68">
        <v>0.58333333333333337</v>
      </c>
      <c r="O75" s="68">
        <v>0.63541666666666663</v>
      </c>
      <c r="P75" s="69">
        <f t="shared" si="11"/>
        <v>1.2499999999999982</v>
      </c>
      <c r="Q75" s="2">
        <v>3</v>
      </c>
      <c r="R75" s="71" t="str">
        <f t="shared" si="10"/>
        <v>3EDMIBERRECHID</v>
      </c>
      <c r="S75" s="72">
        <f>IF(P75="","",P75/VLOOKUP(R75,'Matrice Productivité '!I:J,2,FALSE)/100)</f>
        <v>9.6849173553718859E-4</v>
      </c>
      <c r="T75" s="77" t="s">
        <v>132</v>
      </c>
      <c r="U75" s="24" t="s">
        <v>233</v>
      </c>
      <c r="V75" s="63" t="s">
        <v>90</v>
      </c>
      <c r="W75" s="2" t="s">
        <v>234</v>
      </c>
    </row>
    <row r="76" spans="1:23" ht="30">
      <c r="A76" s="63" t="s">
        <v>69</v>
      </c>
      <c r="B76" s="2" t="s">
        <v>70</v>
      </c>
      <c r="C76" s="39">
        <v>46023</v>
      </c>
      <c r="D76" s="65" t="str">
        <f>YEAR(C76)&amp;"-S0"&amp;WEEKNUM(C76)</f>
        <v>2026-S01</v>
      </c>
      <c r="E76" s="66" t="str">
        <f t="shared" ref="E76:E107" si="12">YEAR(C76)&amp;"-M0"&amp;MONTH(C76)</f>
        <v>2026-M01</v>
      </c>
      <c r="F76" s="65">
        <f t="shared" si="8"/>
        <v>2026</v>
      </c>
      <c r="G76" s="2" t="s">
        <v>71</v>
      </c>
      <c r="H76" s="2" t="s">
        <v>128</v>
      </c>
      <c r="I76" s="2" t="s">
        <v>198</v>
      </c>
      <c r="J76" s="2" t="s">
        <v>199</v>
      </c>
      <c r="K76" s="2" t="s">
        <v>75</v>
      </c>
      <c r="L76" s="2" t="s">
        <v>75</v>
      </c>
      <c r="M76" s="2" t="s">
        <v>163</v>
      </c>
      <c r="N76" s="68">
        <v>0.14583333333333331</v>
      </c>
      <c r="O76" s="68">
        <v>0.25</v>
      </c>
      <c r="P76" s="69">
        <f t="shared" si="11"/>
        <v>2.5000000000000004</v>
      </c>
      <c r="Q76" s="70">
        <v>3</v>
      </c>
      <c r="R76" s="71" t="str">
        <f t="shared" si="10"/>
        <v>3EDMIBERRECHID</v>
      </c>
      <c r="S76" s="72">
        <f>IF(P76="","",P76/VLOOKUP(R76,'Matrice Productivité '!I:J,2,FALSE)/100)</f>
        <v>1.9369834710743802E-3</v>
      </c>
      <c r="T76" s="24" t="s">
        <v>205</v>
      </c>
      <c r="U76" s="24" t="s">
        <v>206</v>
      </c>
      <c r="V76" s="63" t="s">
        <v>52</v>
      </c>
      <c r="W76" s="2" t="s">
        <v>104</v>
      </c>
    </row>
    <row r="77" spans="1:23" ht="30">
      <c r="A77" s="63" t="s">
        <v>69</v>
      </c>
      <c r="B77" s="2" t="s">
        <v>70</v>
      </c>
      <c r="C77" s="39">
        <v>46023</v>
      </c>
      <c r="D77" s="65" t="str">
        <f t="shared" ref="D77:D103" si="13">YEAR(C77)&amp;"-S0"&amp;WEEKNUM(C77)</f>
        <v>2026-S01</v>
      </c>
      <c r="E77" s="66" t="str">
        <f t="shared" si="12"/>
        <v>2026-M01</v>
      </c>
      <c r="F77" s="65">
        <f t="shared" si="8"/>
        <v>2026</v>
      </c>
      <c r="G77" s="2" t="s">
        <v>71</v>
      </c>
      <c r="H77" s="2" t="s">
        <v>128</v>
      </c>
      <c r="I77" s="2" t="s">
        <v>235</v>
      </c>
      <c r="J77" s="2" t="s">
        <v>236</v>
      </c>
      <c r="K77" s="2" t="s">
        <v>75</v>
      </c>
      <c r="L77" s="2" t="s">
        <v>75</v>
      </c>
      <c r="M77" s="2" t="s">
        <v>237</v>
      </c>
      <c r="N77" s="68">
        <v>8.3333333333333315E-2</v>
      </c>
      <c r="O77" s="68">
        <v>0.20833333333333331</v>
      </c>
      <c r="P77" s="69">
        <f t="shared" si="11"/>
        <v>3</v>
      </c>
      <c r="Q77" s="70">
        <v>3</v>
      </c>
      <c r="R77" s="71" t="str">
        <f t="shared" si="10"/>
        <v>3EDMIBERRECHID</v>
      </c>
      <c r="S77" s="72">
        <f>IF(P77="","",P77/VLOOKUP(R77,'Matrice Productivité '!I:J,2,FALSE)/100)</f>
        <v>2.3243801652892558E-3</v>
      </c>
      <c r="T77" s="24" t="s">
        <v>209</v>
      </c>
      <c r="U77" s="24" t="s">
        <v>238</v>
      </c>
      <c r="V77" s="63" t="s">
        <v>52</v>
      </c>
      <c r="W77" s="63" t="s">
        <v>85</v>
      </c>
    </row>
    <row r="78" spans="1:23" ht="30">
      <c r="A78" s="63" t="s">
        <v>69</v>
      </c>
      <c r="B78" s="2" t="s">
        <v>70</v>
      </c>
      <c r="C78" s="39">
        <v>46023</v>
      </c>
      <c r="D78" s="65" t="str">
        <f t="shared" si="13"/>
        <v>2026-S01</v>
      </c>
      <c r="E78" s="66" t="str">
        <f t="shared" si="12"/>
        <v>2026-M01</v>
      </c>
      <c r="F78" s="65">
        <f t="shared" si="8"/>
        <v>2026</v>
      </c>
      <c r="G78" s="63" t="s">
        <v>98</v>
      </c>
      <c r="H78" s="2" t="s">
        <v>72</v>
      </c>
      <c r="I78" s="2" t="s">
        <v>198</v>
      </c>
      <c r="J78" s="2" t="s">
        <v>239</v>
      </c>
      <c r="K78" s="2" t="s">
        <v>75</v>
      </c>
      <c r="L78" s="2" t="s">
        <v>75</v>
      </c>
      <c r="M78" s="2" t="s">
        <v>163</v>
      </c>
      <c r="N78" s="68">
        <v>0.25</v>
      </c>
      <c r="O78" s="68">
        <v>0.34027777777777779</v>
      </c>
      <c r="P78" s="69">
        <f t="shared" si="11"/>
        <v>2.166666666666667</v>
      </c>
      <c r="Q78" s="70">
        <v>3</v>
      </c>
      <c r="R78" s="71" t="str">
        <f t="shared" si="10"/>
        <v>3EDMIBERRECHID</v>
      </c>
      <c r="S78" s="72">
        <f>IF(P78="","",P78/VLOOKUP(R78,'Matrice Productivité '!I:J,2,FALSE)/100)</f>
        <v>1.6787190082644629E-3</v>
      </c>
      <c r="T78" s="24" t="s">
        <v>240</v>
      </c>
      <c r="U78" s="24" t="s">
        <v>241</v>
      </c>
      <c r="V78" s="63" t="s">
        <v>52</v>
      </c>
      <c r="W78" s="2" t="s">
        <v>242</v>
      </c>
    </row>
    <row r="79" spans="1:23" ht="30">
      <c r="A79" s="63" t="s">
        <v>69</v>
      </c>
      <c r="B79" s="2" t="s">
        <v>70</v>
      </c>
      <c r="C79" s="39">
        <v>46023</v>
      </c>
      <c r="D79" s="65" t="str">
        <f t="shared" si="13"/>
        <v>2026-S01</v>
      </c>
      <c r="E79" s="66" t="str">
        <f t="shared" si="12"/>
        <v>2026-M01</v>
      </c>
      <c r="F79" s="65">
        <f t="shared" si="8"/>
        <v>2026</v>
      </c>
      <c r="G79" s="63" t="s">
        <v>98</v>
      </c>
      <c r="H79" s="2" t="s">
        <v>72</v>
      </c>
      <c r="I79" s="2" t="s">
        <v>198</v>
      </c>
      <c r="J79" s="2" t="s">
        <v>243</v>
      </c>
      <c r="K79" s="2" t="s">
        <v>75</v>
      </c>
      <c r="L79" s="2" t="s">
        <v>75</v>
      </c>
      <c r="M79" s="2" t="s">
        <v>237</v>
      </c>
      <c r="N79" s="68">
        <v>0.25</v>
      </c>
      <c r="O79" s="68">
        <v>0.38611111111111113</v>
      </c>
      <c r="P79" s="69">
        <f t="shared" si="11"/>
        <v>3.2666666666666671</v>
      </c>
      <c r="Q79" s="70">
        <v>3</v>
      </c>
      <c r="R79" s="71" t="str">
        <f t="shared" si="10"/>
        <v>3EDMIBERRECHID</v>
      </c>
      <c r="S79" s="72">
        <f>IF(P79="","",P79/VLOOKUP(R79,'Matrice Productivité '!I:J,2,FALSE)/100)</f>
        <v>2.5309917355371904E-3</v>
      </c>
      <c r="T79" s="24" t="s">
        <v>244</v>
      </c>
      <c r="U79" s="24" t="s">
        <v>245</v>
      </c>
      <c r="V79" s="63" t="s">
        <v>52</v>
      </c>
      <c r="W79" s="2" t="s">
        <v>242</v>
      </c>
    </row>
    <row r="80" spans="1:23" ht="30">
      <c r="A80" s="63" t="s">
        <v>69</v>
      </c>
      <c r="B80" s="2" t="s">
        <v>70</v>
      </c>
      <c r="C80" s="39">
        <v>46023</v>
      </c>
      <c r="D80" s="65" t="str">
        <f t="shared" si="13"/>
        <v>2026-S01</v>
      </c>
      <c r="E80" s="66" t="str">
        <f t="shared" si="12"/>
        <v>2026-M01</v>
      </c>
      <c r="F80" s="65">
        <f t="shared" si="8"/>
        <v>2026</v>
      </c>
      <c r="G80" s="2" t="s">
        <v>71</v>
      </c>
      <c r="H80" s="2" t="s">
        <v>128</v>
      </c>
      <c r="I80" s="2" t="s">
        <v>235</v>
      </c>
      <c r="J80" s="2" t="s">
        <v>236</v>
      </c>
      <c r="K80" s="2" t="s">
        <v>75</v>
      </c>
      <c r="L80" s="2" t="s">
        <v>75</v>
      </c>
      <c r="M80" s="2" t="s">
        <v>237</v>
      </c>
      <c r="N80" s="68">
        <v>0.45833333333333331</v>
      </c>
      <c r="O80" s="68">
        <v>0.5625</v>
      </c>
      <c r="P80" s="69">
        <f t="shared" si="11"/>
        <v>2.5000000000000004</v>
      </c>
      <c r="Q80" s="70">
        <v>3</v>
      </c>
      <c r="R80" s="71" t="str">
        <f t="shared" si="10"/>
        <v>3EDMIBERRECHID</v>
      </c>
      <c r="S80" s="72">
        <f>IF(P80="","",P80/VLOOKUP(R80,'Matrice Productivité '!I:J,2,FALSE)/100)</f>
        <v>1.9369834710743802E-3</v>
      </c>
      <c r="T80" s="24" t="s">
        <v>209</v>
      </c>
      <c r="U80" s="24" t="s">
        <v>246</v>
      </c>
      <c r="V80" s="63" t="s">
        <v>52</v>
      </c>
      <c r="W80" s="63" t="s">
        <v>85</v>
      </c>
    </row>
    <row r="81" spans="1:23" ht="30">
      <c r="A81" s="63" t="s">
        <v>69</v>
      </c>
      <c r="B81" s="2" t="s">
        <v>70</v>
      </c>
      <c r="C81" s="39">
        <v>46024</v>
      </c>
      <c r="D81" s="65" t="str">
        <f t="shared" si="13"/>
        <v>2026-S01</v>
      </c>
      <c r="E81" s="66" t="str">
        <f t="shared" si="12"/>
        <v>2026-M01</v>
      </c>
      <c r="F81" s="65">
        <f t="shared" si="8"/>
        <v>2026</v>
      </c>
      <c r="G81" s="63" t="s">
        <v>98</v>
      </c>
      <c r="H81" s="2" t="s">
        <v>72</v>
      </c>
      <c r="I81" s="2" t="s">
        <v>235</v>
      </c>
      <c r="J81" s="2" t="s">
        <v>236</v>
      </c>
      <c r="K81" s="2" t="s">
        <v>75</v>
      </c>
      <c r="L81" s="2" t="s">
        <v>75</v>
      </c>
      <c r="M81" s="2" t="s">
        <v>247</v>
      </c>
      <c r="N81" s="68">
        <v>0.25</v>
      </c>
      <c r="O81" s="68">
        <v>0.2638888888888889</v>
      </c>
      <c r="P81" s="69">
        <f t="shared" si="11"/>
        <v>0.33333333333333348</v>
      </c>
      <c r="Q81" s="70">
        <v>3</v>
      </c>
      <c r="R81" s="71" t="str">
        <f t="shared" si="10"/>
        <v>3EDMIBERRECHID</v>
      </c>
      <c r="S81" s="72">
        <f>IF(P81="","",P81/VLOOKUP(R81,'Matrice Productivité '!I:J,2,FALSE)/100)</f>
        <v>2.5826446280991742E-4</v>
      </c>
      <c r="T81" s="24" t="s">
        <v>209</v>
      </c>
      <c r="U81" s="24" t="s">
        <v>248</v>
      </c>
      <c r="V81" s="63" t="s">
        <v>52</v>
      </c>
      <c r="W81" s="63" t="s">
        <v>85</v>
      </c>
    </row>
    <row r="82" spans="1:23" ht="30">
      <c r="A82" s="63" t="s">
        <v>69</v>
      </c>
      <c r="B82" s="2" t="s">
        <v>70</v>
      </c>
      <c r="C82" s="39">
        <v>46024</v>
      </c>
      <c r="D82" s="65" t="str">
        <f t="shared" si="13"/>
        <v>2026-S01</v>
      </c>
      <c r="E82" s="66" t="str">
        <f t="shared" si="12"/>
        <v>2026-M01</v>
      </c>
      <c r="F82" s="65">
        <f t="shared" si="8"/>
        <v>2026</v>
      </c>
      <c r="G82" s="63" t="s">
        <v>98</v>
      </c>
      <c r="H82" s="2" t="s">
        <v>72</v>
      </c>
      <c r="I82" s="2" t="s">
        <v>198</v>
      </c>
      <c r="J82" s="2" t="s">
        <v>249</v>
      </c>
      <c r="K82" s="2" t="s">
        <v>75</v>
      </c>
      <c r="L82" s="2" t="s">
        <v>75</v>
      </c>
      <c r="M82" s="2" t="s">
        <v>226</v>
      </c>
      <c r="N82" s="68">
        <v>0.35416666666666669</v>
      </c>
      <c r="O82" s="68">
        <v>0.4513888888888889</v>
      </c>
      <c r="P82" s="69">
        <f t="shared" si="11"/>
        <v>2.333333333333333</v>
      </c>
      <c r="Q82" s="70">
        <v>3</v>
      </c>
      <c r="R82" s="71" t="str">
        <f t="shared" si="10"/>
        <v>3EDMIBERRECHID</v>
      </c>
      <c r="S82" s="72">
        <f>IF(P82="","",P82/VLOOKUP(R82,'Matrice Productivité '!I:J,2,FALSE)/100)</f>
        <v>1.8078512396694211E-3</v>
      </c>
      <c r="T82" s="24" t="s">
        <v>187</v>
      </c>
      <c r="U82" s="24" t="s">
        <v>250</v>
      </c>
      <c r="V82" s="63" t="s">
        <v>52</v>
      </c>
      <c r="W82" s="2" t="s">
        <v>104</v>
      </c>
    </row>
    <row r="83" spans="1:23" ht="30">
      <c r="A83" s="63" t="s">
        <v>69</v>
      </c>
      <c r="B83" s="2" t="s">
        <v>70</v>
      </c>
      <c r="C83" s="39">
        <v>46024</v>
      </c>
      <c r="D83" s="65" t="str">
        <f t="shared" si="13"/>
        <v>2026-S01</v>
      </c>
      <c r="E83" s="66" t="str">
        <f t="shared" si="12"/>
        <v>2026-M01</v>
      </c>
      <c r="F83" s="65">
        <f t="shared" si="8"/>
        <v>2026</v>
      </c>
      <c r="G83" s="2" t="s">
        <v>71</v>
      </c>
      <c r="H83" s="2" t="s">
        <v>99</v>
      </c>
      <c r="I83" s="2" t="s">
        <v>198</v>
      </c>
      <c r="J83" s="2" t="s">
        <v>249</v>
      </c>
      <c r="K83" s="2" t="s">
        <v>75</v>
      </c>
      <c r="L83" s="2" t="s">
        <v>75</v>
      </c>
      <c r="M83" s="2" t="s">
        <v>226</v>
      </c>
      <c r="N83" s="68">
        <v>0.63194444444444442</v>
      </c>
      <c r="O83" s="68">
        <v>0.65694444444444444</v>
      </c>
      <c r="P83" s="69">
        <f t="shared" si="11"/>
        <v>0.60000000000000053</v>
      </c>
      <c r="Q83" s="70">
        <v>3</v>
      </c>
      <c r="R83" s="71" t="str">
        <f t="shared" si="10"/>
        <v>3EDMIBERRECHID</v>
      </c>
      <c r="S83" s="72">
        <f>IF(P83="","",P83/VLOOKUP(R83,'Matrice Productivité '!I:J,2,FALSE)/100)</f>
        <v>4.6487603305785162E-4</v>
      </c>
      <c r="T83" s="24" t="s">
        <v>251</v>
      </c>
      <c r="U83" s="24" t="s">
        <v>252</v>
      </c>
      <c r="V83" s="63" t="s">
        <v>52</v>
      </c>
      <c r="W83" s="2" t="s">
        <v>207</v>
      </c>
    </row>
    <row r="84" spans="1:23" ht="30">
      <c r="A84" s="63" t="s">
        <v>69</v>
      </c>
      <c r="B84" s="2" t="s">
        <v>70</v>
      </c>
      <c r="C84" s="39">
        <v>46024</v>
      </c>
      <c r="D84" s="65" t="str">
        <f t="shared" si="13"/>
        <v>2026-S01</v>
      </c>
      <c r="E84" s="66" t="str">
        <f t="shared" si="12"/>
        <v>2026-M01</v>
      </c>
      <c r="F84" s="65">
        <f t="shared" si="8"/>
        <v>2026</v>
      </c>
      <c r="G84" s="63" t="s">
        <v>98</v>
      </c>
      <c r="H84" s="2" t="s">
        <v>99</v>
      </c>
      <c r="I84" s="63" t="s">
        <v>92</v>
      </c>
      <c r="J84" s="2" t="s">
        <v>253</v>
      </c>
      <c r="K84" s="2" t="s">
        <v>75</v>
      </c>
      <c r="L84" s="2" t="s">
        <v>75</v>
      </c>
      <c r="M84" s="2" t="s">
        <v>226</v>
      </c>
      <c r="N84" s="68">
        <v>0.78472222222222221</v>
      </c>
      <c r="O84" s="68">
        <v>0.8125</v>
      </c>
      <c r="P84" s="69">
        <f t="shared" si="11"/>
        <v>0.66666666666666696</v>
      </c>
      <c r="Q84" s="70">
        <v>3</v>
      </c>
      <c r="R84" s="71" t="str">
        <f t="shared" si="10"/>
        <v>3EDMIBERRECHID</v>
      </c>
      <c r="S84" s="72">
        <f>IF(P84="","",P84/VLOOKUP(R84,'Matrice Productivité '!I:J,2,FALSE)/100)</f>
        <v>5.1652892561983483E-4</v>
      </c>
      <c r="T84" s="24" t="s">
        <v>254</v>
      </c>
      <c r="U84" s="24" t="s">
        <v>255</v>
      </c>
      <c r="V84" s="63" t="s">
        <v>52</v>
      </c>
      <c r="W84" s="2" t="s">
        <v>104</v>
      </c>
    </row>
    <row r="85" spans="1:23" ht="30">
      <c r="A85" s="63" t="s">
        <v>69</v>
      </c>
      <c r="B85" s="2" t="s">
        <v>105</v>
      </c>
      <c r="C85" s="39">
        <v>46026</v>
      </c>
      <c r="D85" s="65" t="str">
        <f t="shared" si="13"/>
        <v>2026-S02</v>
      </c>
      <c r="E85" s="66" t="str">
        <f t="shared" si="12"/>
        <v>2026-M01</v>
      </c>
      <c r="F85" s="65">
        <f t="shared" si="8"/>
        <v>2026</v>
      </c>
      <c r="G85" s="2" t="s">
        <v>127</v>
      </c>
      <c r="H85" s="2" t="s">
        <v>128</v>
      </c>
      <c r="I85" s="2" t="s">
        <v>129</v>
      </c>
      <c r="J85" s="2" t="s">
        <v>130</v>
      </c>
      <c r="K85" s="2" t="s">
        <v>75</v>
      </c>
      <c r="L85" s="2" t="s">
        <v>75</v>
      </c>
      <c r="M85" s="2" t="s">
        <v>131</v>
      </c>
      <c r="N85" s="68">
        <v>0.91666666666666663</v>
      </c>
      <c r="O85" s="68">
        <v>0.9375</v>
      </c>
      <c r="P85" s="69">
        <f t="shared" si="11"/>
        <v>0.50000000000000089</v>
      </c>
      <c r="Q85" s="2">
        <v>3</v>
      </c>
      <c r="R85" s="71" t="str">
        <f t="shared" si="10"/>
        <v>3EDMIBERRECHID</v>
      </c>
      <c r="S85" s="72">
        <f>IF(P85="","",P85/VLOOKUP(R85,'Matrice Productivité '!I:J,2,FALSE)/100)</f>
        <v>3.8739669421487669E-4</v>
      </c>
      <c r="T85" s="77" t="s">
        <v>132</v>
      </c>
      <c r="U85" s="24" t="s">
        <v>256</v>
      </c>
      <c r="V85" s="63" t="s">
        <v>90</v>
      </c>
      <c r="W85" s="2" t="s">
        <v>136</v>
      </c>
    </row>
    <row r="86" spans="1:23" ht="30">
      <c r="A86" s="63" t="s">
        <v>69</v>
      </c>
      <c r="B86" s="2" t="s">
        <v>70</v>
      </c>
      <c r="C86" s="39">
        <v>46027</v>
      </c>
      <c r="D86" s="65" t="str">
        <f t="shared" si="13"/>
        <v>2026-S02</v>
      </c>
      <c r="E86" s="66" t="str">
        <f t="shared" si="12"/>
        <v>2026-M01</v>
      </c>
      <c r="F86" s="65">
        <f t="shared" si="8"/>
        <v>2026</v>
      </c>
      <c r="G86" s="63" t="s">
        <v>98</v>
      </c>
      <c r="H86" s="2" t="s">
        <v>128</v>
      </c>
      <c r="I86" s="2" t="s">
        <v>100</v>
      </c>
      <c r="J86" s="2" t="s">
        <v>101</v>
      </c>
      <c r="K86" s="2" t="s">
        <v>75</v>
      </c>
      <c r="L86" s="2" t="s">
        <v>75</v>
      </c>
      <c r="M86" s="2" t="s">
        <v>160</v>
      </c>
      <c r="N86" s="68">
        <v>0.91666666666666674</v>
      </c>
      <c r="O86" s="68">
        <v>0.25</v>
      </c>
      <c r="P86" s="69">
        <f>(O86-N86)*24+24</f>
        <v>8</v>
      </c>
      <c r="Q86" s="70">
        <v>3</v>
      </c>
      <c r="R86" s="71" t="str">
        <f t="shared" si="10"/>
        <v>3EDMIBERRECHID</v>
      </c>
      <c r="S86" s="72">
        <f>IF(P86="","",P86/VLOOKUP(R86,'Matrice Productivité '!I:J,2,FALSE)/100)</f>
        <v>6.1983471074380158E-3</v>
      </c>
      <c r="T86" s="24" t="s">
        <v>257</v>
      </c>
      <c r="U86" s="24" t="s">
        <v>258</v>
      </c>
      <c r="V86" s="74" t="s">
        <v>33</v>
      </c>
      <c r="W86" s="2" t="s">
        <v>259</v>
      </c>
    </row>
    <row r="87" spans="1:23" ht="30">
      <c r="A87" s="63" t="s">
        <v>69</v>
      </c>
      <c r="B87" s="2" t="s">
        <v>70</v>
      </c>
      <c r="C87" s="39">
        <v>46027</v>
      </c>
      <c r="D87" s="65" t="str">
        <f t="shared" si="13"/>
        <v>2026-S02</v>
      </c>
      <c r="E87" s="66" t="str">
        <f t="shared" si="12"/>
        <v>2026-M01</v>
      </c>
      <c r="F87" s="65">
        <f t="shared" si="8"/>
        <v>2026</v>
      </c>
      <c r="G87" s="2" t="s">
        <v>156</v>
      </c>
      <c r="H87" s="2" t="s">
        <v>72</v>
      </c>
      <c r="I87" s="2" t="s">
        <v>198</v>
      </c>
      <c r="J87" s="2" t="s">
        <v>260</v>
      </c>
      <c r="K87" s="2" t="s">
        <v>75</v>
      </c>
      <c r="L87" s="2" t="s">
        <v>75</v>
      </c>
      <c r="M87" s="2" t="s">
        <v>226</v>
      </c>
      <c r="N87" s="68">
        <v>0.3923611111111111</v>
      </c>
      <c r="O87" s="68">
        <v>0.43472222222222223</v>
      </c>
      <c r="P87" s="69">
        <f t="shared" si="11"/>
        <v>1.0166666666666671</v>
      </c>
      <c r="Q87" s="70">
        <v>3</v>
      </c>
      <c r="R87" s="71" t="str">
        <f t="shared" si="10"/>
        <v>3EDMIBERRECHID</v>
      </c>
      <c r="S87" s="72">
        <f>IF(P87="","",P87/VLOOKUP(R87,'Matrice Productivité '!I:J,2,FALSE)/100)</f>
        <v>7.8770661157024811E-4</v>
      </c>
      <c r="T87" s="24" t="s">
        <v>261</v>
      </c>
      <c r="U87" s="24" t="s">
        <v>262</v>
      </c>
      <c r="V87" s="74" t="s">
        <v>33</v>
      </c>
      <c r="W87" s="2" t="s">
        <v>112</v>
      </c>
    </row>
    <row r="88" spans="1:23" ht="30">
      <c r="A88" s="63" t="s">
        <v>69</v>
      </c>
      <c r="B88" s="2" t="s">
        <v>70</v>
      </c>
      <c r="C88" s="39">
        <v>46027</v>
      </c>
      <c r="D88" s="65" t="str">
        <f t="shared" si="13"/>
        <v>2026-S02</v>
      </c>
      <c r="E88" s="66" t="str">
        <f t="shared" si="12"/>
        <v>2026-M01</v>
      </c>
      <c r="F88" s="65">
        <f t="shared" si="8"/>
        <v>2026</v>
      </c>
      <c r="G88" s="2" t="s">
        <v>156</v>
      </c>
      <c r="H88" s="2" t="s">
        <v>72</v>
      </c>
      <c r="I88" s="2" t="s">
        <v>198</v>
      </c>
      <c r="J88" s="2" t="s">
        <v>263</v>
      </c>
      <c r="K88" s="2" t="s">
        <v>75</v>
      </c>
      <c r="L88" s="2" t="s">
        <v>75</v>
      </c>
      <c r="M88" s="2" t="s">
        <v>226</v>
      </c>
      <c r="N88" s="68">
        <v>0.43055555555555558</v>
      </c>
      <c r="O88" s="68">
        <v>0.44444444444444442</v>
      </c>
      <c r="P88" s="69">
        <f t="shared" si="11"/>
        <v>0.33333333333333215</v>
      </c>
      <c r="Q88" s="70">
        <v>3</v>
      </c>
      <c r="R88" s="71" t="str">
        <f t="shared" si="10"/>
        <v>3EDMIBERRECHID</v>
      </c>
      <c r="S88" s="72">
        <f>IF(P88="","",P88/VLOOKUP(R88,'Matrice Productivité '!I:J,2,FALSE)/100)</f>
        <v>2.5826446280991644E-4</v>
      </c>
      <c r="T88" s="24" t="s">
        <v>264</v>
      </c>
      <c r="U88" s="24" t="s">
        <v>265</v>
      </c>
      <c r="V88" s="74" t="s">
        <v>33</v>
      </c>
      <c r="W88" s="2" t="s">
        <v>112</v>
      </c>
    </row>
    <row r="89" spans="1:23" ht="30">
      <c r="A89" s="63" t="s">
        <v>69</v>
      </c>
      <c r="B89" s="2" t="s">
        <v>70</v>
      </c>
      <c r="C89" s="39">
        <v>46027</v>
      </c>
      <c r="D89" s="65" t="str">
        <f t="shared" si="13"/>
        <v>2026-S02</v>
      </c>
      <c r="E89" s="66" t="str">
        <f t="shared" si="12"/>
        <v>2026-M01</v>
      </c>
      <c r="F89" s="65">
        <f t="shared" si="8"/>
        <v>2026</v>
      </c>
      <c r="G89" s="2" t="s">
        <v>156</v>
      </c>
      <c r="H89" s="2" t="s">
        <v>72</v>
      </c>
      <c r="I89" s="2" t="s">
        <v>100</v>
      </c>
      <c r="J89" s="2" t="s">
        <v>101</v>
      </c>
      <c r="K89" s="2" t="s">
        <v>75</v>
      </c>
      <c r="L89" s="2" t="s">
        <v>75</v>
      </c>
      <c r="M89" s="2" t="s">
        <v>160</v>
      </c>
      <c r="N89" s="68">
        <v>0.25</v>
      </c>
      <c r="O89" s="68">
        <v>0.47222222222222221</v>
      </c>
      <c r="P89" s="69">
        <f t="shared" si="11"/>
        <v>5.333333333333333</v>
      </c>
      <c r="Q89" s="70">
        <v>3</v>
      </c>
      <c r="R89" s="71" t="str">
        <f t="shared" si="10"/>
        <v>3EDMIBERRECHID</v>
      </c>
      <c r="S89" s="72">
        <f>IF(P89="","",P89/VLOOKUP(R89,'Matrice Productivité '!I:J,2,FALSE)/100)</f>
        <v>4.1322314049586769E-3</v>
      </c>
      <c r="T89" s="24" t="s">
        <v>266</v>
      </c>
      <c r="U89" s="24" t="s">
        <v>267</v>
      </c>
      <c r="V89" s="74" t="s">
        <v>33</v>
      </c>
      <c r="W89" s="2" t="s">
        <v>112</v>
      </c>
    </row>
    <row r="90" spans="1:23" ht="30">
      <c r="A90" s="63" t="s">
        <v>69</v>
      </c>
      <c r="B90" s="2" t="s">
        <v>70</v>
      </c>
      <c r="C90" s="39">
        <v>46027</v>
      </c>
      <c r="D90" s="65" t="str">
        <f t="shared" si="13"/>
        <v>2026-S02</v>
      </c>
      <c r="E90" s="66" t="str">
        <f t="shared" si="12"/>
        <v>2026-M01</v>
      </c>
      <c r="F90" s="65">
        <f t="shared" si="8"/>
        <v>2026</v>
      </c>
      <c r="G90" s="2" t="s">
        <v>156</v>
      </c>
      <c r="H90" s="2" t="s">
        <v>72</v>
      </c>
      <c r="I90" s="63" t="s">
        <v>150</v>
      </c>
      <c r="J90" s="63" t="s">
        <v>151</v>
      </c>
      <c r="K90" s="2" t="s">
        <v>75</v>
      </c>
      <c r="L90" s="2" t="s">
        <v>75</v>
      </c>
      <c r="M90" s="2" t="s">
        <v>268</v>
      </c>
      <c r="N90" s="68">
        <v>0.25</v>
      </c>
      <c r="O90" s="68">
        <v>0.52777777777777779</v>
      </c>
      <c r="P90" s="69">
        <f t="shared" si="11"/>
        <v>6.666666666666667</v>
      </c>
      <c r="Q90" s="70">
        <v>3</v>
      </c>
      <c r="R90" s="71" t="str">
        <f t="shared" si="10"/>
        <v>3EDMIBERRECHID</v>
      </c>
      <c r="S90" s="72">
        <f>IF(P90="","",P90/VLOOKUP(R90,'Matrice Productivité '!I:J,2,FALSE)/100)</f>
        <v>5.1652892561983464E-3</v>
      </c>
      <c r="T90" s="24" t="s">
        <v>209</v>
      </c>
      <c r="U90" s="24" t="s">
        <v>269</v>
      </c>
      <c r="V90" s="63" t="s">
        <v>52</v>
      </c>
      <c r="W90" s="2" t="s">
        <v>155</v>
      </c>
    </row>
    <row r="91" spans="1:23" ht="30">
      <c r="A91" s="63" t="s">
        <v>69</v>
      </c>
      <c r="B91" s="2" t="s">
        <v>70</v>
      </c>
      <c r="C91" s="39">
        <v>46027</v>
      </c>
      <c r="D91" s="65" t="str">
        <f t="shared" si="13"/>
        <v>2026-S02</v>
      </c>
      <c r="E91" s="66" t="str">
        <f t="shared" si="12"/>
        <v>2026-M01</v>
      </c>
      <c r="F91" s="65">
        <f t="shared" si="8"/>
        <v>2026</v>
      </c>
      <c r="G91" s="2" t="s">
        <v>156</v>
      </c>
      <c r="H91" s="2" t="s">
        <v>72</v>
      </c>
      <c r="I91" s="2" t="s">
        <v>235</v>
      </c>
      <c r="J91" s="2" t="s">
        <v>236</v>
      </c>
      <c r="K91" s="2" t="s">
        <v>75</v>
      </c>
      <c r="L91" s="2" t="s">
        <v>75</v>
      </c>
      <c r="M91" s="2" t="s">
        <v>268</v>
      </c>
      <c r="N91" s="68">
        <v>0.25</v>
      </c>
      <c r="O91" s="68">
        <v>0.56944444444444442</v>
      </c>
      <c r="P91" s="69">
        <f t="shared" si="11"/>
        <v>7.6666666666666661</v>
      </c>
      <c r="Q91" s="70">
        <v>3</v>
      </c>
      <c r="R91" s="71" t="str">
        <f t="shared" si="10"/>
        <v>3EDMIBERRECHID</v>
      </c>
      <c r="S91" s="72">
        <f>IF(P91="","",P91/VLOOKUP(R91,'Matrice Productivité '!I:J,2,FALSE)/100)</f>
        <v>5.9400826446280985E-3</v>
      </c>
      <c r="T91" s="24" t="s">
        <v>209</v>
      </c>
      <c r="U91" s="24" t="s">
        <v>269</v>
      </c>
      <c r="V91" s="63" t="s">
        <v>52</v>
      </c>
      <c r="W91" s="2" t="s">
        <v>104</v>
      </c>
    </row>
    <row r="92" spans="1:23" ht="30">
      <c r="A92" s="63" t="s">
        <v>69</v>
      </c>
      <c r="B92" s="2" t="s">
        <v>70</v>
      </c>
      <c r="C92" s="39">
        <v>46027</v>
      </c>
      <c r="D92" s="65" t="str">
        <f t="shared" si="13"/>
        <v>2026-S02</v>
      </c>
      <c r="E92" s="66" t="str">
        <f t="shared" si="12"/>
        <v>2026-M01</v>
      </c>
      <c r="F92" s="65">
        <f t="shared" si="8"/>
        <v>2026</v>
      </c>
      <c r="G92" s="2" t="s">
        <v>71</v>
      </c>
      <c r="H92" s="2" t="s">
        <v>99</v>
      </c>
      <c r="I92" s="63" t="s">
        <v>150</v>
      </c>
      <c r="J92" s="63" t="s">
        <v>151</v>
      </c>
      <c r="K92" s="2" t="s">
        <v>75</v>
      </c>
      <c r="L92" s="2" t="s">
        <v>75</v>
      </c>
      <c r="M92" s="2" t="s">
        <v>268</v>
      </c>
      <c r="N92" s="68">
        <v>0.875</v>
      </c>
      <c r="O92" s="68">
        <v>0.91666666666666663</v>
      </c>
      <c r="P92" s="69">
        <f t="shared" si="11"/>
        <v>0.99999999999999911</v>
      </c>
      <c r="Q92" s="70">
        <v>3</v>
      </c>
      <c r="R92" s="71" t="str">
        <f t="shared" si="10"/>
        <v>3EDMIBERRECHID</v>
      </c>
      <c r="S92" s="72">
        <f>IF(P92="","",P92/VLOOKUP(R92,'Matrice Productivité '!I:J,2,FALSE)/100)</f>
        <v>7.7479338842975133E-4</v>
      </c>
      <c r="T92" s="77" t="s">
        <v>132</v>
      </c>
      <c r="U92" s="24" t="s">
        <v>270</v>
      </c>
      <c r="V92" s="63" t="s">
        <v>90</v>
      </c>
      <c r="W92" s="2" t="s">
        <v>147</v>
      </c>
    </row>
    <row r="93" spans="1:23" ht="45">
      <c r="A93" s="63" t="s">
        <v>69</v>
      </c>
      <c r="B93" s="2" t="s">
        <v>105</v>
      </c>
      <c r="C93" s="39">
        <v>46027</v>
      </c>
      <c r="D93" s="65" t="str">
        <f t="shared" si="13"/>
        <v>2026-S02</v>
      </c>
      <c r="E93" s="66" t="str">
        <f t="shared" si="12"/>
        <v>2026-M01</v>
      </c>
      <c r="F93" s="65">
        <f t="shared" si="8"/>
        <v>2026</v>
      </c>
      <c r="G93" s="2" t="s">
        <v>106</v>
      </c>
      <c r="H93" s="2" t="s">
        <v>99</v>
      </c>
      <c r="I93" s="2" t="s">
        <v>179</v>
      </c>
      <c r="J93" s="2" t="s">
        <v>180</v>
      </c>
      <c r="K93" s="2" t="s">
        <v>48</v>
      </c>
      <c r="L93" s="2" t="s">
        <v>48</v>
      </c>
      <c r="M93" s="2" t="s">
        <v>271</v>
      </c>
      <c r="N93" s="68">
        <v>0.87083333333333335</v>
      </c>
      <c r="O93" s="68">
        <v>0.91666666666666663</v>
      </c>
      <c r="P93" s="69">
        <f t="shared" si="11"/>
        <v>1.0999999999999988</v>
      </c>
      <c r="Q93" s="70">
        <v>2</v>
      </c>
      <c r="R93" s="71" t="str">
        <f t="shared" si="10"/>
        <v>2LE RESTEBERRECHID</v>
      </c>
      <c r="S93" s="72">
        <f>IF(P93="","",P93/VLOOKUP(R93,'Matrice Productivité '!I:J,2,FALSE)/100)</f>
        <v>4.2613636363636313E-4</v>
      </c>
      <c r="T93" s="24" t="s">
        <v>272</v>
      </c>
      <c r="U93" s="24" t="s">
        <v>273</v>
      </c>
      <c r="V93" s="74" t="s">
        <v>33</v>
      </c>
      <c r="W93" s="81" t="s">
        <v>274</v>
      </c>
    </row>
    <row r="94" spans="1:23" ht="45">
      <c r="A94" s="63" t="s">
        <v>69</v>
      </c>
      <c r="B94" s="2" t="s">
        <v>105</v>
      </c>
      <c r="C94" s="39">
        <v>46028</v>
      </c>
      <c r="D94" s="65" t="str">
        <f t="shared" si="13"/>
        <v>2026-S02</v>
      </c>
      <c r="E94" s="66" t="str">
        <f t="shared" si="12"/>
        <v>2026-M01</v>
      </c>
      <c r="F94" s="65">
        <f t="shared" si="8"/>
        <v>2026</v>
      </c>
      <c r="G94" s="2" t="s">
        <v>106</v>
      </c>
      <c r="H94" s="2" t="s">
        <v>72</v>
      </c>
      <c r="I94" s="2" t="s">
        <v>179</v>
      </c>
      <c r="J94" s="2" t="s">
        <v>180</v>
      </c>
      <c r="K94" s="2" t="s">
        <v>48</v>
      </c>
      <c r="L94" s="2" t="s">
        <v>48</v>
      </c>
      <c r="M94" s="2" t="s">
        <v>271</v>
      </c>
      <c r="N94" s="68">
        <v>0.25</v>
      </c>
      <c r="O94" s="68">
        <v>0.28125</v>
      </c>
      <c r="P94" s="69">
        <f t="shared" si="11"/>
        <v>0.75</v>
      </c>
      <c r="Q94" s="70">
        <v>2</v>
      </c>
      <c r="R94" s="71" t="str">
        <f t="shared" si="10"/>
        <v>2LE RESTEBERRECHID</v>
      </c>
      <c r="S94" s="72">
        <f>IF(P94="","",P94/VLOOKUP(R94,'Matrice Productivité '!I:J,2,FALSE)/100)</f>
        <v>2.9054752066115698E-4</v>
      </c>
      <c r="T94" s="24" t="s">
        <v>272</v>
      </c>
      <c r="U94" s="24" t="s">
        <v>273</v>
      </c>
      <c r="V94" s="74" t="s">
        <v>33</v>
      </c>
      <c r="W94" s="81" t="s">
        <v>274</v>
      </c>
    </row>
    <row r="95" spans="1:23" ht="30">
      <c r="A95" s="63" t="s">
        <v>69</v>
      </c>
      <c r="B95" s="2" t="s">
        <v>70</v>
      </c>
      <c r="C95" s="39">
        <v>46028</v>
      </c>
      <c r="D95" s="65" t="str">
        <f t="shared" si="13"/>
        <v>2026-S02</v>
      </c>
      <c r="E95" s="66" t="str">
        <f t="shared" si="12"/>
        <v>2026-M01</v>
      </c>
      <c r="F95" s="65">
        <f t="shared" si="8"/>
        <v>2026</v>
      </c>
      <c r="G95" s="63" t="s">
        <v>98</v>
      </c>
      <c r="H95" s="2" t="s">
        <v>128</v>
      </c>
      <c r="I95" s="2" t="s">
        <v>235</v>
      </c>
      <c r="J95" s="2" t="s">
        <v>236</v>
      </c>
      <c r="K95" s="2" t="s">
        <v>75</v>
      </c>
      <c r="L95" s="2" t="s">
        <v>75</v>
      </c>
      <c r="M95" s="2" t="s">
        <v>152</v>
      </c>
      <c r="N95" s="68">
        <v>0.94444444444444453</v>
      </c>
      <c r="O95" s="68">
        <v>0.11111111111111116</v>
      </c>
      <c r="P95" s="69">
        <f>(O95-N95)*24+24</f>
        <v>4</v>
      </c>
      <c r="Q95" s="70">
        <v>3</v>
      </c>
      <c r="R95" s="71" t="str">
        <f t="shared" si="10"/>
        <v>3EDMIBERRECHID</v>
      </c>
      <c r="S95" s="72">
        <f>IF(P95="","",P95/VLOOKUP(R95,'Matrice Productivité '!I:J,2,FALSE)/100)</f>
        <v>3.0991735537190079E-3</v>
      </c>
      <c r="T95" s="24" t="s">
        <v>209</v>
      </c>
      <c r="U95" s="24" t="s">
        <v>275</v>
      </c>
      <c r="V95" s="63" t="s">
        <v>52</v>
      </c>
      <c r="W95" s="2" t="s">
        <v>276</v>
      </c>
    </row>
    <row r="96" spans="1:23" ht="30">
      <c r="A96" s="63" t="s">
        <v>69</v>
      </c>
      <c r="B96" s="2" t="s">
        <v>70</v>
      </c>
      <c r="C96" s="39">
        <v>46028</v>
      </c>
      <c r="D96" s="65" t="str">
        <f t="shared" si="13"/>
        <v>2026-S02</v>
      </c>
      <c r="E96" s="66" t="str">
        <f t="shared" si="12"/>
        <v>2026-M01</v>
      </c>
      <c r="F96" s="65">
        <f t="shared" si="8"/>
        <v>2026</v>
      </c>
      <c r="G96" s="63" t="s">
        <v>98</v>
      </c>
      <c r="H96" s="2" t="s">
        <v>128</v>
      </c>
      <c r="I96" s="2" t="s">
        <v>235</v>
      </c>
      <c r="J96" s="2" t="s">
        <v>236</v>
      </c>
      <c r="K96" s="2" t="s">
        <v>75</v>
      </c>
      <c r="L96" s="2" t="s">
        <v>75</v>
      </c>
      <c r="M96" s="2" t="s">
        <v>152</v>
      </c>
      <c r="N96" s="68">
        <v>0.20833333333333334</v>
      </c>
      <c r="O96" s="68">
        <v>0.25</v>
      </c>
      <c r="P96" s="69">
        <f t="shared" si="11"/>
        <v>0.99999999999999978</v>
      </c>
      <c r="Q96" s="70">
        <v>3</v>
      </c>
      <c r="R96" s="71" t="str">
        <f t="shared" si="10"/>
        <v>3EDMIBERRECHID</v>
      </c>
      <c r="S96" s="72">
        <f>IF(P96="","",P96/VLOOKUP(R96,'Matrice Productivité '!I:J,2,FALSE)/100)</f>
        <v>7.7479338842975187E-4</v>
      </c>
      <c r="T96" s="24" t="s">
        <v>209</v>
      </c>
      <c r="U96" s="24" t="s">
        <v>277</v>
      </c>
      <c r="V96" s="63" t="s">
        <v>52</v>
      </c>
      <c r="W96" s="2" t="s">
        <v>276</v>
      </c>
    </row>
    <row r="97" spans="1:23" ht="30">
      <c r="A97" s="63" t="s">
        <v>69</v>
      </c>
      <c r="B97" s="2" t="s">
        <v>105</v>
      </c>
      <c r="C97" s="39">
        <v>46027</v>
      </c>
      <c r="D97" s="65" t="str">
        <f t="shared" si="13"/>
        <v>2026-S02</v>
      </c>
      <c r="E97" s="66" t="str">
        <f t="shared" si="12"/>
        <v>2026-M01</v>
      </c>
      <c r="F97" s="65">
        <f t="shared" si="8"/>
        <v>2026</v>
      </c>
      <c r="G97" s="2" t="s">
        <v>127</v>
      </c>
      <c r="H97" s="2" t="s">
        <v>128</v>
      </c>
      <c r="I97" s="2" t="s">
        <v>129</v>
      </c>
      <c r="J97" s="2" t="s">
        <v>278</v>
      </c>
      <c r="K97" s="2" t="s">
        <v>75</v>
      </c>
      <c r="L97" s="2" t="s">
        <v>75</v>
      </c>
      <c r="M97" s="2" t="s">
        <v>131</v>
      </c>
      <c r="N97" s="68">
        <v>0.91666666666666663</v>
      </c>
      <c r="O97" s="68">
        <v>0.95833333333333337</v>
      </c>
      <c r="P97" s="69">
        <f t="shared" si="11"/>
        <v>1.0000000000000018</v>
      </c>
      <c r="Q97" s="2">
        <v>3</v>
      </c>
      <c r="R97" s="71" t="str">
        <f t="shared" si="10"/>
        <v>3EDMIBERRECHID</v>
      </c>
      <c r="S97" s="72">
        <f>IF(P97="","",P97/VLOOKUP(R97,'Matrice Productivité '!I:J,2,FALSE)/100)</f>
        <v>7.7479338842975339E-4</v>
      </c>
      <c r="T97" s="24" t="s">
        <v>144</v>
      </c>
      <c r="U97" s="24" t="s">
        <v>280</v>
      </c>
      <c r="V97" s="74" t="s">
        <v>33</v>
      </c>
      <c r="W97" s="78" t="s">
        <v>281</v>
      </c>
    </row>
    <row r="98" spans="1:23" ht="30">
      <c r="A98" s="63" t="s">
        <v>69</v>
      </c>
      <c r="B98" s="2" t="s">
        <v>105</v>
      </c>
      <c r="C98" s="39">
        <v>46027</v>
      </c>
      <c r="D98" s="65" t="str">
        <f t="shared" si="13"/>
        <v>2026-S02</v>
      </c>
      <c r="E98" s="66" t="str">
        <f t="shared" si="12"/>
        <v>2026-M01</v>
      </c>
      <c r="F98" s="65">
        <f t="shared" si="8"/>
        <v>2026</v>
      </c>
      <c r="G98" s="2" t="s">
        <v>127</v>
      </c>
      <c r="H98" s="2" t="s">
        <v>128</v>
      </c>
      <c r="I98" s="2" t="s">
        <v>129</v>
      </c>
      <c r="J98" s="2" t="s">
        <v>278</v>
      </c>
      <c r="K98" s="2" t="s">
        <v>75</v>
      </c>
      <c r="L98" s="2" t="s">
        <v>75</v>
      </c>
      <c r="M98" s="2" t="s">
        <v>131</v>
      </c>
      <c r="N98" s="68">
        <v>0.11458333333333333</v>
      </c>
      <c r="O98" s="68">
        <v>0.13541666666666666</v>
      </c>
      <c r="P98" s="69">
        <f t="shared" si="11"/>
        <v>0.49999999999999989</v>
      </c>
      <c r="Q98" s="2">
        <v>3</v>
      </c>
      <c r="R98" s="71" t="str">
        <f t="shared" ref="R98:R129" si="14">Q98&amp;L98&amp;A98</f>
        <v>3EDMIBERRECHID</v>
      </c>
      <c r="S98" s="72">
        <f>IF(P98="","",P98/VLOOKUP(R98,'Matrice Productivité '!I:J,2,FALSE)/100)</f>
        <v>3.8739669421487594E-4</v>
      </c>
      <c r="T98" s="24" t="s">
        <v>282</v>
      </c>
      <c r="U98" s="24" t="s">
        <v>283</v>
      </c>
      <c r="V98" s="2" t="s">
        <v>59</v>
      </c>
      <c r="W98" s="2" t="s">
        <v>134</v>
      </c>
    </row>
    <row r="99" spans="1:23" ht="30">
      <c r="A99" s="63" t="s">
        <v>69</v>
      </c>
      <c r="B99" s="2" t="s">
        <v>70</v>
      </c>
      <c r="C99" s="39">
        <v>46029</v>
      </c>
      <c r="D99" s="65" t="str">
        <f t="shared" si="13"/>
        <v>2026-S02</v>
      </c>
      <c r="E99" s="66" t="str">
        <f t="shared" si="12"/>
        <v>2026-M01</v>
      </c>
      <c r="F99" s="65">
        <f t="shared" si="8"/>
        <v>2026</v>
      </c>
      <c r="G99" s="63" t="s">
        <v>98</v>
      </c>
      <c r="H99" s="2" t="s">
        <v>128</v>
      </c>
      <c r="I99" s="2" t="s">
        <v>219</v>
      </c>
      <c r="J99" s="2" t="s">
        <v>159</v>
      </c>
      <c r="K99" s="2" t="s">
        <v>75</v>
      </c>
      <c r="L99" s="2" t="s">
        <v>75</v>
      </c>
      <c r="M99" s="2" t="s">
        <v>160</v>
      </c>
      <c r="N99" s="68">
        <v>7.6388888888888895E-2</v>
      </c>
      <c r="O99" s="68">
        <v>0.24999999999999997</v>
      </c>
      <c r="P99" s="69">
        <f t="shared" si="11"/>
        <v>4.1666666666666661</v>
      </c>
      <c r="Q99" s="70">
        <v>3</v>
      </c>
      <c r="R99" s="71" t="str">
        <f t="shared" si="14"/>
        <v>3EDMIBERRECHID</v>
      </c>
      <c r="S99" s="72">
        <f>IF(P99="","",P99/VLOOKUP(R99,'Matrice Productivité '!I:J,2,FALSE)/100)</f>
        <v>3.2283057851239662E-3</v>
      </c>
      <c r="T99" s="75" t="s">
        <v>88</v>
      </c>
      <c r="U99" s="24" t="s">
        <v>284</v>
      </c>
      <c r="V99" s="2" t="s">
        <v>90</v>
      </c>
      <c r="W99" s="2" t="s">
        <v>285</v>
      </c>
    </row>
    <row r="100" spans="1:23" ht="30">
      <c r="A100" s="63" t="s">
        <v>69</v>
      </c>
      <c r="B100" s="2" t="s">
        <v>105</v>
      </c>
      <c r="C100" s="39">
        <v>46029</v>
      </c>
      <c r="D100" s="65" t="str">
        <f t="shared" si="13"/>
        <v>2026-S02</v>
      </c>
      <c r="E100" s="66" t="str">
        <f t="shared" si="12"/>
        <v>2026-M01</v>
      </c>
      <c r="F100" s="65">
        <f t="shared" si="8"/>
        <v>2026</v>
      </c>
      <c r="G100" s="2" t="s">
        <v>127</v>
      </c>
      <c r="H100" s="2" t="s">
        <v>128</v>
      </c>
      <c r="I100" s="2" t="s">
        <v>129</v>
      </c>
      <c r="J100" s="2" t="s">
        <v>278</v>
      </c>
      <c r="K100" s="2" t="s">
        <v>75</v>
      </c>
      <c r="L100" s="2" t="s">
        <v>75</v>
      </c>
      <c r="M100" s="2" t="s">
        <v>131</v>
      </c>
      <c r="N100" s="68">
        <v>0.91666666666666663</v>
      </c>
      <c r="O100" s="68">
        <v>0.93402777777777779</v>
      </c>
      <c r="P100" s="69">
        <f t="shared" si="11"/>
        <v>0.41666666666666785</v>
      </c>
      <c r="Q100" s="2">
        <v>3</v>
      </c>
      <c r="R100" s="71" t="str">
        <f t="shared" si="14"/>
        <v>3EDMIBERRECHID</v>
      </c>
      <c r="S100" s="72">
        <f>IF(P100="","",P100/VLOOKUP(R100,'Matrice Productivité '!I:J,2,FALSE)/100)</f>
        <v>3.2283057851239757E-4</v>
      </c>
      <c r="T100" s="77" t="s">
        <v>132</v>
      </c>
      <c r="U100" s="24" t="s">
        <v>286</v>
      </c>
      <c r="V100" s="63" t="s">
        <v>90</v>
      </c>
      <c r="W100" s="2" t="s">
        <v>136</v>
      </c>
    </row>
    <row r="101" spans="1:23" ht="30">
      <c r="A101" s="63" t="s">
        <v>69</v>
      </c>
      <c r="B101" s="2" t="s">
        <v>105</v>
      </c>
      <c r="C101" s="39">
        <v>46029</v>
      </c>
      <c r="D101" s="65" t="str">
        <f t="shared" si="13"/>
        <v>2026-S02</v>
      </c>
      <c r="E101" s="66" t="str">
        <f t="shared" si="12"/>
        <v>2026-M01</v>
      </c>
      <c r="F101" s="65">
        <f t="shared" si="8"/>
        <v>2026</v>
      </c>
      <c r="G101" s="2" t="s">
        <v>127</v>
      </c>
      <c r="H101" s="2" t="s">
        <v>72</v>
      </c>
      <c r="I101" s="2" t="s">
        <v>129</v>
      </c>
      <c r="J101" s="2" t="s">
        <v>278</v>
      </c>
      <c r="K101" s="2" t="s">
        <v>75</v>
      </c>
      <c r="L101" s="2" t="s">
        <v>75</v>
      </c>
      <c r="M101" s="2" t="s">
        <v>131</v>
      </c>
      <c r="N101" s="68">
        <v>0.25</v>
      </c>
      <c r="O101" s="68">
        <v>0.26041666666666669</v>
      </c>
      <c r="P101" s="69">
        <f t="shared" si="11"/>
        <v>0.25000000000000044</v>
      </c>
      <c r="Q101" s="2">
        <v>3</v>
      </c>
      <c r="R101" s="71" t="str">
        <f t="shared" si="14"/>
        <v>3EDMIBERRECHID</v>
      </c>
      <c r="S101" s="72">
        <f>IF(P101="","",P101/VLOOKUP(R101,'Matrice Productivité '!I:J,2,FALSE)/100)</f>
        <v>1.9369834710743835E-4</v>
      </c>
      <c r="T101" s="77" t="s">
        <v>132</v>
      </c>
      <c r="U101" s="24" t="s">
        <v>286</v>
      </c>
      <c r="V101" s="63" t="s">
        <v>90</v>
      </c>
      <c r="W101" s="2" t="s">
        <v>287</v>
      </c>
    </row>
    <row r="102" spans="1:23" ht="30">
      <c r="A102" s="63" t="s">
        <v>69</v>
      </c>
      <c r="B102" s="2" t="s">
        <v>105</v>
      </c>
      <c r="C102" s="39">
        <v>46029</v>
      </c>
      <c r="D102" s="65" t="str">
        <f t="shared" si="13"/>
        <v>2026-S02</v>
      </c>
      <c r="E102" s="66" t="str">
        <f t="shared" si="12"/>
        <v>2026-M01</v>
      </c>
      <c r="F102" s="65">
        <f t="shared" si="8"/>
        <v>2026</v>
      </c>
      <c r="G102" s="2" t="s">
        <v>127</v>
      </c>
      <c r="H102" s="2" t="s">
        <v>99</v>
      </c>
      <c r="I102" s="2" t="s">
        <v>129</v>
      </c>
      <c r="J102" s="2" t="s">
        <v>278</v>
      </c>
      <c r="K102" s="2" t="s">
        <v>75</v>
      </c>
      <c r="L102" s="2" t="s">
        <v>75</v>
      </c>
      <c r="M102" s="2" t="s">
        <v>131</v>
      </c>
      <c r="N102" s="68">
        <v>0.58333333333333337</v>
      </c>
      <c r="O102" s="68">
        <v>0.91666666666666663</v>
      </c>
      <c r="P102" s="69">
        <f t="shared" si="11"/>
        <v>7.9999999999999982</v>
      </c>
      <c r="Q102" s="2">
        <v>3</v>
      </c>
      <c r="R102" s="71" t="str">
        <f t="shared" si="14"/>
        <v>3EDMIBERRECHID</v>
      </c>
      <c r="S102" s="72">
        <f>IF(P102="","",P102/VLOOKUP(R102,'Matrice Productivité '!I:J,2,FALSE)/100)</f>
        <v>6.198347107438015E-3</v>
      </c>
      <c r="T102" s="77" t="s">
        <v>132</v>
      </c>
      <c r="U102" s="24" t="s">
        <v>288</v>
      </c>
      <c r="V102" s="63" t="s">
        <v>90</v>
      </c>
      <c r="W102" s="2" t="s">
        <v>289</v>
      </c>
    </row>
    <row r="103" spans="1:23" ht="30">
      <c r="A103" s="63" t="s">
        <v>69</v>
      </c>
      <c r="B103" s="2" t="s">
        <v>105</v>
      </c>
      <c r="C103" s="39">
        <v>46030</v>
      </c>
      <c r="D103" s="65" t="str">
        <f t="shared" si="13"/>
        <v>2026-S02</v>
      </c>
      <c r="E103" s="66" t="str">
        <f t="shared" si="12"/>
        <v>2026-M01</v>
      </c>
      <c r="F103" s="65">
        <f t="shared" si="8"/>
        <v>2026</v>
      </c>
      <c r="G103" s="2" t="s">
        <v>127</v>
      </c>
      <c r="H103" s="2" t="s">
        <v>72</v>
      </c>
      <c r="I103" s="2" t="s">
        <v>129</v>
      </c>
      <c r="J103" s="2" t="s">
        <v>278</v>
      </c>
      <c r="K103" s="2" t="s">
        <v>75</v>
      </c>
      <c r="L103" s="2" t="s">
        <v>75</v>
      </c>
      <c r="M103" s="2" t="s">
        <v>131</v>
      </c>
      <c r="N103" s="68">
        <v>0.24999999999999994</v>
      </c>
      <c r="O103" s="68">
        <v>0.58333333333333326</v>
      </c>
      <c r="P103" s="69">
        <f t="shared" si="11"/>
        <v>8</v>
      </c>
      <c r="Q103" s="2">
        <v>3</v>
      </c>
      <c r="R103" s="71" t="str">
        <f t="shared" si="14"/>
        <v>3EDMIBERRECHID</v>
      </c>
      <c r="S103" s="72">
        <f>IF(P103="","",P103/VLOOKUP(R103,'Matrice Productivité '!I:J,2,FALSE)/100)</f>
        <v>6.1983471074380158E-3</v>
      </c>
      <c r="T103" s="77" t="s">
        <v>132</v>
      </c>
      <c r="U103" s="24" t="s">
        <v>290</v>
      </c>
      <c r="V103" s="63" t="s">
        <v>90</v>
      </c>
      <c r="W103" s="2" t="s">
        <v>136</v>
      </c>
    </row>
    <row r="104" spans="1:23" ht="30">
      <c r="A104" s="63" t="s">
        <v>24</v>
      </c>
      <c r="B104" s="63" t="s">
        <v>25</v>
      </c>
      <c r="C104" s="39">
        <v>46028</v>
      </c>
      <c r="D104" s="65" t="str">
        <f>YEAR(C104)&amp;"-S0"&amp;WEEKNUM(C104)</f>
        <v>2026-S02</v>
      </c>
      <c r="E104" s="66" t="str">
        <f t="shared" si="12"/>
        <v>2026-M01</v>
      </c>
      <c r="F104" s="65">
        <f t="shared" si="8"/>
        <v>2026</v>
      </c>
      <c r="G104" s="63" t="s">
        <v>37</v>
      </c>
      <c r="H104" s="63" t="s">
        <v>27</v>
      </c>
      <c r="I104" s="74" t="s">
        <v>291</v>
      </c>
      <c r="J104" s="74" t="s">
        <v>292</v>
      </c>
      <c r="K104" s="2" t="s">
        <v>40</v>
      </c>
      <c r="L104" s="2" t="s">
        <v>40</v>
      </c>
      <c r="M104" s="2" t="s">
        <v>293</v>
      </c>
      <c r="N104" s="68">
        <v>0.54166666666666607</v>
      </c>
      <c r="O104" s="68">
        <v>0.75</v>
      </c>
      <c r="P104" s="69">
        <f t="shared" si="11"/>
        <v>5.0000000000000142</v>
      </c>
      <c r="Q104" s="2">
        <v>1</v>
      </c>
      <c r="R104" s="71" t="str">
        <f t="shared" si="14"/>
        <v>1LECLANCHÉTEMARA</v>
      </c>
      <c r="S104" s="72">
        <f>IF(P104="","",P104/VLOOKUP(R104,'Matrice Productivité '!I:J,2,FALSE)/100)</f>
        <v>4.1592590812992627E-3</v>
      </c>
      <c r="T104" s="73" t="s">
        <v>294</v>
      </c>
      <c r="U104" s="73" t="s">
        <v>295</v>
      </c>
      <c r="V104" s="63" t="s">
        <v>296</v>
      </c>
      <c r="W104" s="63" t="s">
        <v>37</v>
      </c>
    </row>
    <row r="105" spans="1:23" s="36" customFormat="1" ht="30">
      <c r="A105" s="63" t="s">
        <v>24</v>
      </c>
      <c r="B105" s="63" t="s">
        <v>25</v>
      </c>
      <c r="C105" s="82">
        <v>46028</v>
      </c>
      <c r="D105" s="65" t="str">
        <f t="shared" ref="D105:D115" si="15">YEAR(C105)&amp;"-S0"&amp;WEEKNUM(C105)</f>
        <v>2026-S02</v>
      </c>
      <c r="E105" s="66" t="str">
        <f t="shared" si="12"/>
        <v>2026-M01</v>
      </c>
      <c r="F105" s="65">
        <f t="shared" si="8"/>
        <v>2026</v>
      </c>
      <c r="G105" s="83" t="s">
        <v>26</v>
      </c>
      <c r="H105" s="83" t="s">
        <v>27</v>
      </c>
      <c r="I105" s="83" t="s">
        <v>45</v>
      </c>
      <c r="J105" s="83" t="s">
        <v>297</v>
      </c>
      <c r="K105" s="83" t="s">
        <v>30</v>
      </c>
      <c r="L105" s="83" t="s">
        <v>30</v>
      </c>
      <c r="M105" s="83" t="s">
        <v>293</v>
      </c>
      <c r="N105" s="68">
        <v>0.58333333333333393</v>
      </c>
      <c r="O105" s="68">
        <v>0.75</v>
      </c>
      <c r="P105" s="69">
        <f t="shared" si="11"/>
        <v>3.9999999999999858</v>
      </c>
      <c r="Q105" s="84">
        <v>1</v>
      </c>
      <c r="R105" s="71" t="str">
        <f t="shared" si="14"/>
        <v>1ABBTEMARA</v>
      </c>
      <c r="S105" s="72">
        <f>IF(P105="","",P105/VLOOKUP(R105,'Matrice Productivité '!I:J,2,FALSE)/100)</f>
        <v>6.9701374207187918E-3</v>
      </c>
      <c r="T105" s="85" t="s">
        <v>298</v>
      </c>
      <c r="U105" s="85" t="s">
        <v>299</v>
      </c>
      <c r="V105" s="63" t="s">
        <v>296</v>
      </c>
      <c r="W105" s="83" t="s">
        <v>300</v>
      </c>
    </row>
    <row r="106" spans="1:23" s="36" customFormat="1" ht="30">
      <c r="A106" s="63" t="s">
        <v>24</v>
      </c>
      <c r="B106" s="63" t="s">
        <v>25</v>
      </c>
      <c r="C106" s="82">
        <v>46028</v>
      </c>
      <c r="D106" s="65" t="str">
        <f t="shared" si="15"/>
        <v>2026-S02</v>
      </c>
      <c r="E106" s="66" t="str">
        <f t="shared" si="12"/>
        <v>2026-M01</v>
      </c>
      <c r="F106" s="65">
        <f t="shared" si="8"/>
        <v>2026</v>
      </c>
      <c r="G106" s="83" t="s">
        <v>26</v>
      </c>
      <c r="H106" s="83" t="s">
        <v>27</v>
      </c>
      <c r="I106" s="83" t="s">
        <v>301</v>
      </c>
      <c r="J106" s="83" t="s">
        <v>302</v>
      </c>
      <c r="K106" s="83" t="s">
        <v>30</v>
      </c>
      <c r="L106" s="83" t="s">
        <v>30</v>
      </c>
      <c r="M106" s="83" t="s">
        <v>293</v>
      </c>
      <c r="N106" s="68">
        <v>0.58333333333333393</v>
      </c>
      <c r="O106" s="68">
        <v>0.66666666666666607</v>
      </c>
      <c r="P106" s="69">
        <f t="shared" si="11"/>
        <v>1.9999999999999716</v>
      </c>
      <c r="Q106" s="84">
        <v>1</v>
      </c>
      <c r="R106" s="71" t="str">
        <f t="shared" si="14"/>
        <v>1ABBTEMARA</v>
      </c>
      <c r="S106" s="72">
        <f>IF(P106="","",P106/VLOOKUP(R106,'Matrice Productivité '!I:J,2,FALSE)/100)</f>
        <v>3.4850687103593586E-3</v>
      </c>
      <c r="T106" s="85" t="s">
        <v>298</v>
      </c>
      <c r="U106" s="85" t="s">
        <v>299</v>
      </c>
      <c r="V106" s="63" t="s">
        <v>296</v>
      </c>
      <c r="W106" s="83" t="s">
        <v>300</v>
      </c>
    </row>
    <row r="107" spans="1:23" s="36" customFormat="1" ht="30">
      <c r="A107" s="63" t="s">
        <v>24</v>
      </c>
      <c r="B107" s="63" t="s">
        <v>25</v>
      </c>
      <c r="C107" s="82">
        <v>46029</v>
      </c>
      <c r="D107" s="65" t="str">
        <f t="shared" si="15"/>
        <v>2026-S02</v>
      </c>
      <c r="E107" s="66" t="str">
        <f t="shared" si="12"/>
        <v>2026-M01</v>
      </c>
      <c r="F107" s="65">
        <f t="shared" si="8"/>
        <v>2026</v>
      </c>
      <c r="G107" s="83" t="s">
        <v>26</v>
      </c>
      <c r="H107" s="83" t="s">
        <v>27</v>
      </c>
      <c r="I107" s="83" t="s">
        <v>45</v>
      </c>
      <c r="J107" s="83" t="s">
        <v>303</v>
      </c>
      <c r="K107" s="83" t="s">
        <v>30</v>
      </c>
      <c r="L107" s="83" t="s">
        <v>30</v>
      </c>
      <c r="M107" s="83" t="s">
        <v>293</v>
      </c>
      <c r="N107" s="68">
        <v>0.41666666666666607</v>
      </c>
      <c r="O107" s="68">
        <v>0.75</v>
      </c>
      <c r="P107" s="69">
        <f t="shared" si="11"/>
        <v>8.0000000000000142</v>
      </c>
      <c r="Q107" s="84">
        <v>1</v>
      </c>
      <c r="R107" s="71" t="str">
        <f t="shared" si="14"/>
        <v>1ABBTEMARA</v>
      </c>
      <c r="S107" s="72">
        <f>IF(P107="","",P107/VLOOKUP(R107,'Matrice Productivité '!I:J,2,FALSE)/100)</f>
        <v>1.3940274841437656E-2</v>
      </c>
      <c r="T107" s="85" t="s">
        <v>298</v>
      </c>
      <c r="U107" s="85" t="s">
        <v>299</v>
      </c>
      <c r="V107" s="63" t="s">
        <v>296</v>
      </c>
      <c r="W107" s="83" t="s">
        <v>300</v>
      </c>
    </row>
    <row r="108" spans="1:23" s="36" customFormat="1" ht="30">
      <c r="A108" s="63" t="s">
        <v>24</v>
      </c>
      <c r="B108" s="63" t="s">
        <v>25</v>
      </c>
      <c r="C108" s="82">
        <v>46029</v>
      </c>
      <c r="D108" s="65" t="str">
        <f t="shared" si="15"/>
        <v>2026-S02</v>
      </c>
      <c r="E108" s="66" t="str">
        <f t="shared" ref="E108:E144" si="16">YEAR(C108)&amp;"-M0"&amp;MONTH(C108)</f>
        <v>2026-M01</v>
      </c>
      <c r="F108" s="65">
        <f t="shared" si="8"/>
        <v>2026</v>
      </c>
      <c r="G108" s="83" t="s">
        <v>26</v>
      </c>
      <c r="H108" s="83" t="s">
        <v>27</v>
      </c>
      <c r="I108" s="74" t="s">
        <v>304</v>
      </c>
      <c r="J108" s="74" t="s">
        <v>305</v>
      </c>
      <c r="K108" s="83" t="s">
        <v>30</v>
      </c>
      <c r="L108" s="83" t="s">
        <v>30</v>
      </c>
      <c r="M108" s="83" t="s">
        <v>293</v>
      </c>
      <c r="N108" s="68">
        <v>0.55555555555555536</v>
      </c>
      <c r="O108" s="68">
        <v>0.75</v>
      </c>
      <c r="P108" s="69">
        <f t="shared" si="11"/>
        <v>4.6666666666666714</v>
      </c>
      <c r="Q108" s="84">
        <v>1</v>
      </c>
      <c r="R108" s="71" t="str">
        <f t="shared" si="14"/>
        <v>1ABBTEMARA</v>
      </c>
      <c r="S108" s="72">
        <f>IF(P108="","",P108/VLOOKUP(R108,'Matrice Productivité '!I:J,2,FALSE)/100)</f>
        <v>8.1318269908386264E-3</v>
      </c>
      <c r="T108" s="73" t="s">
        <v>294</v>
      </c>
      <c r="U108" s="73" t="s">
        <v>295</v>
      </c>
      <c r="V108" s="63" t="s">
        <v>296</v>
      </c>
      <c r="W108" s="83" t="s">
        <v>26</v>
      </c>
    </row>
    <row r="109" spans="1:23" s="36" customFormat="1" ht="30">
      <c r="A109" s="63" t="s">
        <v>24</v>
      </c>
      <c r="B109" s="63" t="s">
        <v>25</v>
      </c>
      <c r="C109" s="82">
        <v>46029</v>
      </c>
      <c r="D109" s="65" t="str">
        <f t="shared" ref="D109:D110" si="17">YEAR(C109)&amp;"-S0"&amp;WEEKNUM(C109)</f>
        <v>2026-S02</v>
      </c>
      <c r="E109" s="66" t="str">
        <f t="shared" si="16"/>
        <v>2026-M01</v>
      </c>
      <c r="F109" s="65">
        <f t="shared" si="8"/>
        <v>2026</v>
      </c>
      <c r="G109" s="83" t="s">
        <v>26</v>
      </c>
      <c r="H109" s="83" t="s">
        <v>27</v>
      </c>
      <c r="I109" s="74" t="s">
        <v>306</v>
      </c>
      <c r="J109" s="74" t="s">
        <v>307</v>
      </c>
      <c r="K109" s="83" t="s">
        <v>30</v>
      </c>
      <c r="L109" s="83" t="s">
        <v>30</v>
      </c>
      <c r="M109" s="83" t="s">
        <v>293</v>
      </c>
      <c r="N109" s="68">
        <v>0.55555555555555536</v>
      </c>
      <c r="O109" s="68">
        <v>0.75</v>
      </c>
      <c r="P109" s="69">
        <f t="shared" si="11"/>
        <v>4.6666666666666714</v>
      </c>
      <c r="Q109" s="84">
        <v>1</v>
      </c>
      <c r="R109" s="71" t="str">
        <f t="shared" si="14"/>
        <v>1ABBTEMARA</v>
      </c>
      <c r="S109" s="72">
        <f>IF(P109="","",P109/VLOOKUP(R109,'Matrice Productivité '!I:J,2,FALSE)/100)</f>
        <v>8.1318269908386264E-3</v>
      </c>
      <c r="T109" s="73" t="s">
        <v>294</v>
      </c>
      <c r="U109" s="73" t="s">
        <v>295</v>
      </c>
      <c r="V109" s="63" t="s">
        <v>296</v>
      </c>
      <c r="W109" s="83" t="s">
        <v>26</v>
      </c>
    </row>
    <row r="110" spans="1:23" s="36" customFormat="1" ht="30">
      <c r="A110" s="63" t="s">
        <v>24</v>
      </c>
      <c r="B110" s="63" t="s">
        <v>25</v>
      </c>
      <c r="C110" s="82">
        <v>46029</v>
      </c>
      <c r="D110" s="65" t="str">
        <f t="shared" si="17"/>
        <v>2026-S02</v>
      </c>
      <c r="E110" s="66" t="str">
        <f t="shared" si="16"/>
        <v>2026-M01</v>
      </c>
      <c r="F110" s="65">
        <f t="shared" si="8"/>
        <v>2026</v>
      </c>
      <c r="G110" s="83" t="s">
        <v>26</v>
      </c>
      <c r="H110" s="83" t="s">
        <v>27</v>
      </c>
      <c r="I110" s="74" t="s">
        <v>308</v>
      </c>
      <c r="J110" s="74" t="s">
        <v>309</v>
      </c>
      <c r="K110" s="83" t="s">
        <v>30</v>
      </c>
      <c r="L110" s="83" t="s">
        <v>30</v>
      </c>
      <c r="M110" s="83" t="s">
        <v>293</v>
      </c>
      <c r="N110" s="68">
        <v>0.55555555555555536</v>
      </c>
      <c r="O110" s="68">
        <v>0.75</v>
      </c>
      <c r="P110" s="69">
        <f t="shared" si="11"/>
        <v>4.6666666666666714</v>
      </c>
      <c r="Q110" s="84">
        <v>1</v>
      </c>
      <c r="R110" s="71" t="str">
        <f t="shared" si="14"/>
        <v>1ABBTEMARA</v>
      </c>
      <c r="S110" s="72">
        <f>IF(P110="","",P110/VLOOKUP(R110,'Matrice Productivité '!I:J,2,FALSE)/100)</f>
        <v>8.1318269908386264E-3</v>
      </c>
      <c r="T110" s="73" t="s">
        <v>294</v>
      </c>
      <c r="U110" s="73" t="s">
        <v>295</v>
      </c>
      <c r="V110" s="63" t="s">
        <v>296</v>
      </c>
      <c r="W110" s="83" t="s">
        <v>26</v>
      </c>
    </row>
    <row r="111" spans="1:23" s="36" customFormat="1" ht="30">
      <c r="A111" s="63" t="s">
        <v>24</v>
      </c>
      <c r="B111" s="63" t="s">
        <v>25</v>
      </c>
      <c r="C111" s="82">
        <v>46029</v>
      </c>
      <c r="D111" s="65" t="str">
        <f t="shared" ref="D111" si="18">YEAR(C111)&amp;"-S0"&amp;WEEKNUM(C111)</f>
        <v>2026-S02</v>
      </c>
      <c r="E111" s="66" t="str">
        <f t="shared" si="16"/>
        <v>2026-M01</v>
      </c>
      <c r="F111" s="65">
        <f t="shared" si="8"/>
        <v>2026</v>
      </c>
      <c r="G111" s="83" t="s">
        <v>26</v>
      </c>
      <c r="H111" s="83" t="s">
        <v>27</v>
      </c>
      <c r="I111" s="83" t="s">
        <v>45</v>
      </c>
      <c r="J111" s="83" t="s">
        <v>297</v>
      </c>
      <c r="K111" s="83" t="s">
        <v>30</v>
      </c>
      <c r="L111" s="83" t="s">
        <v>30</v>
      </c>
      <c r="M111" s="83" t="s">
        <v>293</v>
      </c>
      <c r="N111" s="68">
        <v>0.55555555555555536</v>
      </c>
      <c r="O111" s="68">
        <v>0.75</v>
      </c>
      <c r="P111" s="69">
        <f t="shared" si="11"/>
        <v>4.6666666666666714</v>
      </c>
      <c r="Q111" s="84">
        <v>1</v>
      </c>
      <c r="R111" s="71" t="str">
        <f t="shared" si="14"/>
        <v>1ABBTEMARA</v>
      </c>
      <c r="S111" s="72">
        <f>IF(P111="","",P111/VLOOKUP(R111,'Matrice Productivité '!I:J,2,FALSE)/100)</f>
        <v>8.1318269908386264E-3</v>
      </c>
      <c r="T111" s="73" t="s">
        <v>294</v>
      </c>
      <c r="U111" s="73" t="s">
        <v>295</v>
      </c>
      <c r="V111" s="63" t="s">
        <v>296</v>
      </c>
      <c r="W111" s="83" t="s">
        <v>26</v>
      </c>
    </row>
    <row r="112" spans="1:23" s="36" customFormat="1" ht="30">
      <c r="A112" s="63" t="s">
        <v>24</v>
      </c>
      <c r="B112" s="63" t="s">
        <v>25</v>
      </c>
      <c r="C112" s="82">
        <v>46030</v>
      </c>
      <c r="D112" s="65" t="str">
        <f t="shared" si="15"/>
        <v>2026-S02</v>
      </c>
      <c r="E112" s="66" t="str">
        <f t="shared" si="16"/>
        <v>2026-M01</v>
      </c>
      <c r="F112" s="65">
        <f t="shared" si="8"/>
        <v>2026</v>
      </c>
      <c r="G112" s="83" t="s">
        <v>26</v>
      </c>
      <c r="H112" s="83" t="s">
        <v>27</v>
      </c>
      <c r="I112" s="83" t="s">
        <v>45</v>
      </c>
      <c r="J112" s="83" t="s">
        <v>303</v>
      </c>
      <c r="K112" s="83" t="s">
        <v>30</v>
      </c>
      <c r="L112" s="83" t="s">
        <v>30</v>
      </c>
      <c r="M112" s="83">
        <v>5012</v>
      </c>
      <c r="N112" s="68">
        <v>0.375</v>
      </c>
      <c r="O112" s="68">
        <v>0.75</v>
      </c>
      <c r="P112" s="69">
        <f t="shared" si="11"/>
        <v>9</v>
      </c>
      <c r="Q112" s="84">
        <v>1</v>
      </c>
      <c r="R112" s="71" t="str">
        <f t="shared" si="14"/>
        <v>1ABBTEMARA</v>
      </c>
      <c r="S112" s="72">
        <f>IF(P112="","",P112/VLOOKUP(R112,'Matrice Productivité '!I:J,2,FALSE)/100)</f>
        <v>1.5682809196617336E-2</v>
      </c>
      <c r="T112" s="86" t="s">
        <v>110</v>
      </c>
      <c r="U112" s="85" t="s">
        <v>310</v>
      </c>
      <c r="V112" s="74" t="s">
        <v>33</v>
      </c>
      <c r="W112" s="83" t="s">
        <v>311</v>
      </c>
    </row>
    <row r="113" spans="1:23" ht="45">
      <c r="A113" s="63" t="s">
        <v>24</v>
      </c>
      <c r="B113" s="63" t="s">
        <v>25</v>
      </c>
      <c r="C113" s="64">
        <v>46029</v>
      </c>
      <c r="D113" s="65" t="str">
        <f t="shared" si="15"/>
        <v>2026-S02</v>
      </c>
      <c r="E113" s="66" t="str">
        <f t="shared" si="16"/>
        <v>2026-M01</v>
      </c>
      <c r="F113" s="65">
        <f t="shared" si="8"/>
        <v>2026</v>
      </c>
      <c r="G113" s="63" t="s">
        <v>312</v>
      </c>
      <c r="H113" s="63" t="s">
        <v>313</v>
      </c>
      <c r="I113" s="74" t="s">
        <v>314</v>
      </c>
      <c r="J113" s="74" t="s">
        <v>315</v>
      </c>
      <c r="K113" s="63" t="s">
        <v>316</v>
      </c>
      <c r="L113" s="63" t="s">
        <v>48</v>
      </c>
      <c r="M113" s="63" t="s">
        <v>293</v>
      </c>
      <c r="N113" s="68">
        <v>0.54166666666666663</v>
      </c>
      <c r="O113" s="68">
        <v>0.75</v>
      </c>
      <c r="P113" s="69">
        <f t="shared" si="11"/>
        <v>5.0000000000000009</v>
      </c>
      <c r="Q113" s="70">
        <v>1</v>
      </c>
      <c r="R113" s="71" t="str">
        <f t="shared" si="14"/>
        <v>1LE RESTETEMARA</v>
      </c>
      <c r="S113" s="72">
        <f>IF(P113="","",P113/VLOOKUP(R113,'Matrice Productivité '!I:J,2,FALSE)/100)</f>
        <v>1.0841101287718624E-2</v>
      </c>
      <c r="T113" s="73" t="s">
        <v>294</v>
      </c>
      <c r="U113" s="73" t="s">
        <v>295</v>
      </c>
      <c r="V113" s="63" t="s">
        <v>296</v>
      </c>
      <c r="W113" s="63" t="s">
        <v>312</v>
      </c>
    </row>
    <row r="114" spans="1:23" ht="45">
      <c r="A114" s="63" t="s">
        <v>24</v>
      </c>
      <c r="B114" s="63" t="s">
        <v>25</v>
      </c>
      <c r="C114" s="64">
        <v>46030</v>
      </c>
      <c r="D114" s="65" t="str">
        <f t="shared" si="15"/>
        <v>2026-S02</v>
      </c>
      <c r="E114" s="66" t="str">
        <f t="shared" si="16"/>
        <v>2026-M01</v>
      </c>
      <c r="F114" s="65">
        <f t="shared" si="8"/>
        <v>2026</v>
      </c>
      <c r="G114" s="63" t="s">
        <v>317</v>
      </c>
      <c r="H114" s="63" t="s">
        <v>313</v>
      </c>
      <c r="I114" s="74" t="s">
        <v>314</v>
      </c>
      <c r="J114" s="74" t="s">
        <v>315</v>
      </c>
      <c r="K114" s="2" t="s">
        <v>318</v>
      </c>
      <c r="L114" s="2" t="s">
        <v>318</v>
      </c>
      <c r="M114" s="63" t="s">
        <v>293</v>
      </c>
      <c r="N114" s="68">
        <v>0.54166666666666663</v>
      </c>
      <c r="O114" s="68">
        <v>0.75</v>
      </c>
      <c r="P114" s="69">
        <f t="shared" si="11"/>
        <v>5.0000000000000009</v>
      </c>
      <c r="Q114" s="2">
        <v>1</v>
      </c>
      <c r="R114" s="71" t="str">
        <f t="shared" si="14"/>
        <v>1SOLUSCOPETEMARA</v>
      </c>
      <c r="S114" s="72">
        <f>IF(P114="","",P114/VLOOKUP(R114,'Matrice Productivité '!I:J,2,FALSE)/100)</f>
        <v>9.5723020372861828E-4</v>
      </c>
      <c r="T114" s="73" t="s">
        <v>294</v>
      </c>
      <c r="U114" s="73" t="s">
        <v>295</v>
      </c>
      <c r="V114" s="63" t="s">
        <v>296</v>
      </c>
      <c r="W114" s="63" t="s">
        <v>312</v>
      </c>
    </row>
    <row r="115" spans="1:23" s="36" customFormat="1" ht="30">
      <c r="A115" s="63" t="s">
        <v>24</v>
      </c>
      <c r="B115" s="63" t="s">
        <v>25</v>
      </c>
      <c r="C115" s="82">
        <v>46030</v>
      </c>
      <c r="D115" s="65" t="str">
        <f t="shared" si="15"/>
        <v>2026-S02</v>
      </c>
      <c r="E115" s="66" t="str">
        <f t="shared" si="16"/>
        <v>2026-M01</v>
      </c>
      <c r="F115" s="65">
        <f t="shared" si="8"/>
        <v>2026</v>
      </c>
      <c r="G115" s="83" t="s">
        <v>26</v>
      </c>
      <c r="H115" s="83" t="s">
        <v>27</v>
      </c>
      <c r="I115" s="83" t="s">
        <v>304</v>
      </c>
      <c r="J115" s="83" t="s">
        <v>305</v>
      </c>
      <c r="K115" s="83" t="s">
        <v>30</v>
      </c>
      <c r="L115" s="83" t="s">
        <v>30</v>
      </c>
      <c r="M115" s="83" t="s">
        <v>293</v>
      </c>
      <c r="N115" s="68">
        <v>0.35416666666666546</v>
      </c>
      <c r="O115" s="68">
        <v>0.39583333333333215</v>
      </c>
      <c r="P115" s="69">
        <f t="shared" si="11"/>
        <v>1.0000000000000004</v>
      </c>
      <c r="Q115" s="84">
        <v>1</v>
      </c>
      <c r="R115" s="71" t="str">
        <f t="shared" si="14"/>
        <v>1ABBTEMARA</v>
      </c>
      <c r="S115" s="72">
        <f>IF(P115="","",P115/VLOOKUP(R115,'Matrice Productivité '!I:J,2,FALSE)/100)</f>
        <v>1.7425343551797049E-3</v>
      </c>
      <c r="T115" s="75" t="s">
        <v>319</v>
      </c>
      <c r="U115" s="77" t="s">
        <v>320</v>
      </c>
      <c r="V115" s="74" t="s">
        <v>33</v>
      </c>
      <c r="W115" s="83" t="s">
        <v>311</v>
      </c>
    </row>
    <row r="116" spans="1:23" ht="45">
      <c r="A116" s="63" t="s">
        <v>69</v>
      </c>
      <c r="B116" s="63" t="s">
        <v>105</v>
      </c>
      <c r="C116" s="39">
        <v>46030</v>
      </c>
      <c r="D116" s="65" t="str">
        <f>YEAR(C116)&amp;"-S0"&amp;WEEKNUM(C116)</f>
        <v>2026-S02</v>
      </c>
      <c r="E116" s="66" t="str">
        <f t="shared" si="16"/>
        <v>2026-M01</v>
      </c>
      <c r="F116" s="65">
        <f t="shared" si="8"/>
        <v>2026</v>
      </c>
      <c r="G116" s="2" t="s">
        <v>106</v>
      </c>
      <c r="H116" s="2" t="s">
        <v>321</v>
      </c>
      <c r="I116" s="63" t="s">
        <v>322</v>
      </c>
      <c r="J116" s="63" t="s">
        <v>323</v>
      </c>
      <c r="K116" s="63" t="s">
        <v>108</v>
      </c>
      <c r="L116" s="63" t="s">
        <v>108</v>
      </c>
      <c r="M116" s="63" t="s">
        <v>324</v>
      </c>
      <c r="N116" s="68">
        <v>0.58333333333333337</v>
      </c>
      <c r="O116" s="68">
        <v>0.625</v>
      </c>
      <c r="P116" s="69">
        <f t="shared" si="11"/>
        <v>0.99999999999999911</v>
      </c>
      <c r="Q116" s="2">
        <v>2</v>
      </c>
      <c r="R116" s="71" t="str">
        <f t="shared" si="14"/>
        <v>2EMSBERRECHID</v>
      </c>
      <c r="S116" s="72">
        <f>IF(P116="","",P116/VLOOKUP(R116,'Matrice Productivité '!I:J,2,FALSE)/100)</f>
        <v>1.8595041322314035E-4</v>
      </c>
      <c r="T116" s="24" t="s">
        <v>325</v>
      </c>
      <c r="U116" s="24" t="s">
        <v>326</v>
      </c>
      <c r="V116" s="63" t="s">
        <v>52</v>
      </c>
      <c r="W116" s="2" t="s">
        <v>327</v>
      </c>
    </row>
    <row r="117" spans="1:23" ht="30">
      <c r="A117" s="63" t="s">
        <v>69</v>
      </c>
      <c r="B117" s="2" t="s">
        <v>105</v>
      </c>
      <c r="C117" s="39">
        <v>46030</v>
      </c>
      <c r="D117" s="65" t="str">
        <f t="shared" ref="D117:D124" si="19">YEAR(C117)&amp;"-S0"&amp;WEEKNUM(C117)</f>
        <v>2026-S02</v>
      </c>
      <c r="E117" s="66" t="str">
        <f t="shared" si="16"/>
        <v>2026-M01</v>
      </c>
      <c r="F117" s="65">
        <f t="shared" si="8"/>
        <v>2026</v>
      </c>
      <c r="G117" s="2" t="s">
        <v>127</v>
      </c>
      <c r="H117" s="2" t="s">
        <v>99</v>
      </c>
      <c r="I117" s="2" t="s">
        <v>129</v>
      </c>
      <c r="J117" s="2" t="s">
        <v>278</v>
      </c>
      <c r="K117" s="2" t="s">
        <v>75</v>
      </c>
      <c r="L117" s="2" t="s">
        <v>75</v>
      </c>
      <c r="M117" s="2" t="s">
        <v>131</v>
      </c>
      <c r="N117" s="68">
        <v>0.58333333333333337</v>
      </c>
      <c r="O117" s="68">
        <v>0.66666666666666663</v>
      </c>
      <c r="P117" s="69">
        <f t="shared" si="11"/>
        <v>1.9999999999999982</v>
      </c>
      <c r="Q117" s="70">
        <v>3</v>
      </c>
      <c r="R117" s="71" t="str">
        <f t="shared" si="14"/>
        <v>3EDMIBERRECHID</v>
      </c>
      <c r="S117" s="72">
        <f>IF(P117="","",P117/VLOOKUP(R117,'Matrice Productivité '!I:J,2,FALSE)/100)</f>
        <v>1.5495867768595027E-3</v>
      </c>
      <c r="T117" s="75" t="s">
        <v>88</v>
      </c>
      <c r="U117" s="24" t="s">
        <v>328</v>
      </c>
      <c r="V117" s="74" t="s">
        <v>90</v>
      </c>
      <c r="W117" s="2" t="s">
        <v>91</v>
      </c>
    </row>
    <row r="118" spans="1:23" ht="57.6" customHeight="1">
      <c r="A118" s="63" t="s">
        <v>69</v>
      </c>
      <c r="B118" s="63" t="s">
        <v>105</v>
      </c>
      <c r="C118" s="64">
        <v>46030</v>
      </c>
      <c r="D118" s="65" t="str">
        <f t="shared" si="19"/>
        <v>2026-S02</v>
      </c>
      <c r="E118" s="66" t="str">
        <f t="shared" si="16"/>
        <v>2026-M01</v>
      </c>
      <c r="F118" s="65">
        <f t="shared" si="8"/>
        <v>2026</v>
      </c>
      <c r="G118" s="63" t="s">
        <v>106</v>
      </c>
      <c r="H118" s="63" t="s">
        <v>99</v>
      </c>
      <c r="I118" s="2" t="s">
        <v>179</v>
      </c>
      <c r="J118" s="2" t="s">
        <v>180</v>
      </c>
      <c r="K118" s="63" t="s">
        <v>108</v>
      </c>
      <c r="L118" s="63" t="s">
        <v>108</v>
      </c>
      <c r="M118" s="63" t="s">
        <v>329</v>
      </c>
      <c r="N118" s="68">
        <v>0.88888888888888884</v>
      </c>
      <c r="O118" s="68">
        <v>0.91666666666666663</v>
      </c>
      <c r="P118" s="69">
        <f t="shared" si="11"/>
        <v>0.66666666666666696</v>
      </c>
      <c r="Q118" s="2">
        <v>2</v>
      </c>
      <c r="R118" s="71" t="str">
        <f t="shared" si="14"/>
        <v>2EMSBERRECHID</v>
      </c>
      <c r="S118" s="72">
        <f>IF(P118="","",P118/VLOOKUP(R118,'Matrice Productivité '!I:J,2,FALSE)/100)</f>
        <v>1.2396694214876041E-4</v>
      </c>
      <c r="T118" s="24" t="s">
        <v>144</v>
      </c>
      <c r="U118" s="87" t="s">
        <v>331</v>
      </c>
      <c r="V118" s="74" t="s">
        <v>33</v>
      </c>
      <c r="W118" s="63" t="s">
        <v>332</v>
      </c>
    </row>
    <row r="119" spans="1:23" ht="45">
      <c r="A119" s="63" t="s">
        <v>69</v>
      </c>
      <c r="B119" s="63" t="s">
        <v>105</v>
      </c>
      <c r="C119" s="39">
        <v>46031</v>
      </c>
      <c r="D119" s="65" t="str">
        <f t="shared" si="19"/>
        <v>2026-S02</v>
      </c>
      <c r="E119" s="66" t="str">
        <f t="shared" si="16"/>
        <v>2026-M01</v>
      </c>
      <c r="F119" s="65">
        <f t="shared" si="8"/>
        <v>2026</v>
      </c>
      <c r="G119" s="2" t="s">
        <v>106</v>
      </c>
      <c r="H119" s="2" t="s">
        <v>321</v>
      </c>
      <c r="I119" s="63" t="s">
        <v>322</v>
      </c>
      <c r="J119" s="63" t="s">
        <v>323</v>
      </c>
      <c r="K119" s="63" t="s">
        <v>108</v>
      </c>
      <c r="L119" s="63" t="s">
        <v>108</v>
      </c>
      <c r="M119" s="63" t="s">
        <v>324</v>
      </c>
      <c r="N119" s="68">
        <v>0.29166666666666669</v>
      </c>
      <c r="O119" s="68">
        <v>0.35416666666666669</v>
      </c>
      <c r="P119" s="69">
        <f t="shared" si="11"/>
        <v>1.5</v>
      </c>
      <c r="Q119" s="2">
        <v>2</v>
      </c>
      <c r="R119" s="71" t="str">
        <f t="shared" si="14"/>
        <v>2EMSBERRECHID</v>
      </c>
      <c r="S119" s="72">
        <f>IF(P119="","",P119/VLOOKUP(R119,'Matrice Productivité '!I:J,2,FALSE)/100)</f>
        <v>2.7892561983471081E-4</v>
      </c>
      <c r="T119" s="24" t="s">
        <v>325</v>
      </c>
      <c r="U119" s="24" t="s">
        <v>326</v>
      </c>
      <c r="V119" s="63" t="s">
        <v>52</v>
      </c>
      <c r="W119" s="2" t="s">
        <v>327</v>
      </c>
    </row>
    <row r="120" spans="1:23" ht="30">
      <c r="A120" s="63" t="s">
        <v>69</v>
      </c>
      <c r="B120" s="2" t="s">
        <v>105</v>
      </c>
      <c r="C120" s="39">
        <v>46031</v>
      </c>
      <c r="D120" s="65" t="str">
        <f t="shared" si="19"/>
        <v>2026-S02</v>
      </c>
      <c r="E120" s="66" t="str">
        <f t="shared" si="16"/>
        <v>2026-M01</v>
      </c>
      <c r="F120" s="65">
        <f t="shared" si="8"/>
        <v>2026</v>
      </c>
      <c r="G120" s="2" t="s">
        <v>127</v>
      </c>
      <c r="H120" s="2" t="s">
        <v>128</v>
      </c>
      <c r="I120" s="2" t="s">
        <v>129</v>
      </c>
      <c r="J120" s="2" t="s">
        <v>278</v>
      </c>
      <c r="K120" s="2" t="s">
        <v>75</v>
      </c>
      <c r="L120" s="2" t="s">
        <v>75</v>
      </c>
      <c r="M120" s="2" t="s">
        <v>131</v>
      </c>
      <c r="N120" s="68">
        <v>0.91666666666666663</v>
      </c>
      <c r="O120" s="68">
        <v>7.4999999999999956E-2</v>
      </c>
      <c r="P120" s="69">
        <f>(O120-N120)*24+24</f>
        <v>3.8000000000000007</v>
      </c>
      <c r="Q120" s="2">
        <v>3</v>
      </c>
      <c r="R120" s="71" t="str">
        <f t="shared" si="14"/>
        <v>3EDMIBERRECHID</v>
      </c>
      <c r="S120" s="72">
        <f>IF(P120="","",P120/VLOOKUP(R120,'Matrice Productivité '!I:J,2,FALSE)/100)</f>
        <v>2.9442148760330583E-3</v>
      </c>
      <c r="T120" s="77" t="s">
        <v>319</v>
      </c>
      <c r="U120" s="77" t="s">
        <v>333</v>
      </c>
      <c r="V120" s="63" t="s">
        <v>90</v>
      </c>
      <c r="W120" s="2" t="s">
        <v>334</v>
      </c>
    </row>
    <row r="121" spans="1:23" ht="30">
      <c r="A121" s="63" t="s">
        <v>69</v>
      </c>
      <c r="B121" s="2" t="s">
        <v>105</v>
      </c>
      <c r="C121" s="39">
        <v>46031</v>
      </c>
      <c r="D121" s="65" t="str">
        <f t="shared" si="19"/>
        <v>2026-S02</v>
      </c>
      <c r="E121" s="66" t="str">
        <f t="shared" si="16"/>
        <v>2026-M01</v>
      </c>
      <c r="F121" s="65">
        <f t="shared" si="8"/>
        <v>2026</v>
      </c>
      <c r="G121" s="2" t="s">
        <v>127</v>
      </c>
      <c r="H121" s="2" t="s">
        <v>72</v>
      </c>
      <c r="I121" s="2" t="s">
        <v>129</v>
      </c>
      <c r="J121" s="2" t="s">
        <v>278</v>
      </c>
      <c r="K121" s="2" t="s">
        <v>75</v>
      </c>
      <c r="L121" s="2" t="s">
        <v>75</v>
      </c>
      <c r="M121" s="2" t="s">
        <v>163</v>
      </c>
      <c r="N121" s="68">
        <v>0.25</v>
      </c>
      <c r="O121" s="68">
        <v>0.5</v>
      </c>
      <c r="P121" s="69">
        <f t="shared" si="11"/>
        <v>6</v>
      </c>
      <c r="Q121" s="2">
        <v>3</v>
      </c>
      <c r="R121" s="71" t="str">
        <f t="shared" si="14"/>
        <v>3EDMIBERRECHID</v>
      </c>
      <c r="S121" s="72">
        <f>IF(P121="","",P121/VLOOKUP(R121,'Matrice Productivité '!I:J,2,FALSE)/100)</f>
        <v>4.6487603305785117E-3</v>
      </c>
      <c r="T121" s="77" t="s">
        <v>132</v>
      </c>
      <c r="U121" s="77" t="s">
        <v>335</v>
      </c>
      <c r="V121" s="63" t="s">
        <v>90</v>
      </c>
      <c r="W121" s="2" t="s">
        <v>147</v>
      </c>
    </row>
    <row r="122" spans="1:23" ht="30">
      <c r="A122" s="63" t="s">
        <v>69</v>
      </c>
      <c r="B122" s="2" t="s">
        <v>105</v>
      </c>
      <c r="C122" s="39">
        <v>46031</v>
      </c>
      <c r="D122" s="65" t="str">
        <f t="shared" si="19"/>
        <v>2026-S02</v>
      </c>
      <c r="E122" s="66" t="str">
        <f t="shared" si="16"/>
        <v>2026-M01</v>
      </c>
      <c r="F122" s="65">
        <f t="shared" si="8"/>
        <v>2026</v>
      </c>
      <c r="G122" s="2" t="s">
        <v>127</v>
      </c>
      <c r="H122" s="2" t="s">
        <v>99</v>
      </c>
      <c r="I122" s="2" t="s">
        <v>129</v>
      </c>
      <c r="J122" s="2" t="s">
        <v>278</v>
      </c>
      <c r="K122" s="2" t="s">
        <v>75</v>
      </c>
      <c r="L122" s="2" t="s">
        <v>75</v>
      </c>
      <c r="M122" s="2" t="s">
        <v>163</v>
      </c>
      <c r="N122" s="68">
        <v>0.58333333333333337</v>
      </c>
      <c r="O122" s="68">
        <v>0.60763888888888884</v>
      </c>
      <c r="P122" s="69">
        <f t="shared" si="11"/>
        <v>0.58333333333333126</v>
      </c>
      <c r="Q122" s="2">
        <v>3</v>
      </c>
      <c r="R122" s="71" t="str">
        <f t="shared" si="14"/>
        <v>3EDMIBERRECHID</v>
      </c>
      <c r="S122" s="72">
        <f>IF(P122="","",P122/VLOOKUP(R122,'Matrice Productivité '!I:J,2,FALSE)/100)</f>
        <v>4.519628099173537E-4</v>
      </c>
      <c r="T122" s="77" t="s">
        <v>132</v>
      </c>
      <c r="U122" s="77" t="s">
        <v>336</v>
      </c>
      <c r="V122" s="63" t="s">
        <v>90</v>
      </c>
      <c r="W122" s="2" t="s">
        <v>337</v>
      </c>
    </row>
    <row r="123" spans="1:23" ht="30">
      <c r="A123" s="63" t="s">
        <v>69</v>
      </c>
      <c r="B123" s="2" t="s">
        <v>105</v>
      </c>
      <c r="C123" s="39">
        <v>46032</v>
      </c>
      <c r="D123" s="65" t="str">
        <f t="shared" si="19"/>
        <v>2026-S02</v>
      </c>
      <c r="E123" s="66" t="str">
        <f t="shared" si="16"/>
        <v>2026-M01</v>
      </c>
      <c r="F123" s="65">
        <f t="shared" ref="F123:F161" si="20">YEAR(C123)</f>
        <v>2026</v>
      </c>
      <c r="G123" s="2" t="s">
        <v>127</v>
      </c>
      <c r="H123" s="2" t="s">
        <v>338</v>
      </c>
      <c r="I123" s="2" t="s">
        <v>129</v>
      </c>
      <c r="J123" s="2" t="s">
        <v>278</v>
      </c>
      <c r="K123" s="2" t="s">
        <v>75</v>
      </c>
      <c r="L123" s="2" t="s">
        <v>75</v>
      </c>
      <c r="M123" s="2" t="s">
        <v>163</v>
      </c>
      <c r="N123" s="68">
        <v>0.91666666666666663</v>
      </c>
      <c r="O123" s="68">
        <v>0.95833333333333337</v>
      </c>
      <c r="P123" s="69">
        <f t="shared" si="11"/>
        <v>1.0000000000000018</v>
      </c>
      <c r="Q123" s="2">
        <v>3</v>
      </c>
      <c r="R123" s="71" t="str">
        <f t="shared" si="14"/>
        <v>3EDMIBERRECHID</v>
      </c>
      <c r="S123" s="72">
        <f>IF(P123="","",P123/VLOOKUP(R123,'Matrice Productivité '!I:J,2,FALSE)/100)</f>
        <v>7.7479338842975339E-4</v>
      </c>
      <c r="T123" s="77" t="s">
        <v>132</v>
      </c>
      <c r="U123" s="77" t="s">
        <v>336</v>
      </c>
      <c r="V123" s="63" t="s">
        <v>90</v>
      </c>
      <c r="W123" s="2" t="s">
        <v>136</v>
      </c>
    </row>
    <row r="124" spans="1:23" ht="30">
      <c r="A124" s="63" t="s">
        <v>69</v>
      </c>
      <c r="B124" s="2" t="s">
        <v>105</v>
      </c>
      <c r="C124" s="39">
        <v>46032</v>
      </c>
      <c r="D124" s="65" t="str">
        <f t="shared" si="19"/>
        <v>2026-S02</v>
      </c>
      <c r="E124" s="66" t="str">
        <f t="shared" si="16"/>
        <v>2026-M01</v>
      </c>
      <c r="F124" s="65">
        <f t="shared" si="20"/>
        <v>2026</v>
      </c>
      <c r="G124" s="2" t="s">
        <v>127</v>
      </c>
      <c r="H124" s="2" t="s">
        <v>72</v>
      </c>
      <c r="I124" s="2" t="s">
        <v>129</v>
      </c>
      <c r="J124" s="2" t="s">
        <v>278</v>
      </c>
      <c r="K124" s="2" t="s">
        <v>75</v>
      </c>
      <c r="L124" s="2" t="s">
        <v>75</v>
      </c>
      <c r="M124" s="2" t="s">
        <v>131</v>
      </c>
      <c r="N124" s="68">
        <v>0.25</v>
      </c>
      <c r="O124" s="68">
        <v>0.5</v>
      </c>
      <c r="P124" s="69">
        <f t="shared" si="11"/>
        <v>6</v>
      </c>
      <c r="Q124" s="2">
        <v>3</v>
      </c>
      <c r="R124" s="71" t="str">
        <f t="shared" si="14"/>
        <v>3EDMIBERRECHID</v>
      </c>
      <c r="S124" s="72">
        <f>IF(P124="","",P124/VLOOKUP(R124,'Matrice Productivité '!I:J,2,FALSE)/100)</f>
        <v>4.6487603305785117E-3</v>
      </c>
      <c r="T124" s="77" t="s">
        <v>132</v>
      </c>
      <c r="U124" s="77" t="s">
        <v>339</v>
      </c>
      <c r="V124" s="63" t="s">
        <v>90</v>
      </c>
      <c r="W124" s="2" t="s">
        <v>147</v>
      </c>
    </row>
    <row r="125" spans="1:23" ht="30">
      <c r="A125" s="63" t="s">
        <v>24</v>
      </c>
      <c r="B125" s="63" t="s">
        <v>25</v>
      </c>
      <c r="C125" s="82">
        <v>46031</v>
      </c>
      <c r="D125" s="65" t="str">
        <f>YEAR(C125)&amp;"-S0"&amp;WEEKNUM(C125)</f>
        <v>2026-S02</v>
      </c>
      <c r="E125" s="66" t="str">
        <f t="shared" si="16"/>
        <v>2026-M01</v>
      </c>
      <c r="F125" s="65">
        <f t="shared" si="20"/>
        <v>2026</v>
      </c>
      <c r="G125" s="83" t="s">
        <v>26</v>
      </c>
      <c r="H125" s="83" t="s">
        <v>27</v>
      </c>
      <c r="I125" s="83" t="s">
        <v>45</v>
      </c>
      <c r="J125" s="83" t="s">
        <v>303</v>
      </c>
      <c r="K125" s="83" t="s">
        <v>30</v>
      </c>
      <c r="L125" s="83" t="s">
        <v>30</v>
      </c>
      <c r="M125" s="83">
        <v>5012</v>
      </c>
      <c r="N125" s="68">
        <v>0.35416666666666613</v>
      </c>
      <c r="O125" s="68">
        <v>0.71541666666666615</v>
      </c>
      <c r="P125" s="69">
        <f t="shared" si="11"/>
        <v>8.67</v>
      </c>
      <c r="Q125" s="84">
        <v>1</v>
      </c>
      <c r="R125" s="71" t="str">
        <f t="shared" si="14"/>
        <v>1ABBTEMARA</v>
      </c>
      <c r="S125" s="72">
        <f>IF(P125="","",P125/VLOOKUP(R125,'Matrice Productivité '!I:J,2,FALSE)/100)</f>
        <v>1.5107772859408033E-2</v>
      </c>
      <c r="T125" s="86" t="s">
        <v>110</v>
      </c>
      <c r="U125" s="85" t="s">
        <v>340</v>
      </c>
      <c r="V125" s="74" t="s">
        <v>33</v>
      </c>
      <c r="W125" s="83" t="s">
        <v>311</v>
      </c>
    </row>
    <row r="126" spans="1:23" ht="30">
      <c r="A126" s="63" t="s">
        <v>24</v>
      </c>
      <c r="B126" s="63" t="s">
        <v>25</v>
      </c>
      <c r="C126" s="82">
        <v>46031</v>
      </c>
      <c r="D126" s="65" t="str">
        <f t="shared" ref="D126:D133" si="21">YEAR(C126)&amp;"-S0"&amp;WEEKNUM(C126)</f>
        <v>2026-S02</v>
      </c>
      <c r="E126" s="66" t="str">
        <f t="shared" si="16"/>
        <v>2026-M01</v>
      </c>
      <c r="F126" s="65">
        <f t="shared" si="20"/>
        <v>2026</v>
      </c>
      <c r="G126" s="83" t="s">
        <v>26</v>
      </c>
      <c r="H126" s="83" t="s">
        <v>27</v>
      </c>
      <c r="I126" s="83" t="s">
        <v>45</v>
      </c>
      <c r="J126" s="83" t="s">
        <v>341</v>
      </c>
      <c r="K126" s="83" t="s">
        <v>30</v>
      </c>
      <c r="L126" s="83" t="s">
        <v>30</v>
      </c>
      <c r="M126" s="83">
        <v>5012</v>
      </c>
      <c r="N126" s="68">
        <v>0.39583333333333393</v>
      </c>
      <c r="O126" s="68">
        <v>0.64583333333333393</v>
      </c>
      <c r="P126" s="69">
        <f t="shared" si="11"/>
        <v>6</v>
      </c>
      <c r="Q126" s="84">
        <v>1</v>
      </c>
      <c r="R126" s="71" t="str">
        <f t="shared" si="14"/>
        <v>1ABBTEMARA</v>
      </c>
      <c r="S126" s="72">
        <f>IF(P126="","",P126/VLOOKUP(R126,'Matrice Productivité '!I:J,2,FALSE)/100)</f>
        <v>1.0455206131078223E-2</v>
      </c>
      <c r="T126" s="50" t="s">
        <v>342</v>
      </c>
      <c r="U126" s="50" t="s">
        <v>343</v>
      </c>
      <c r="V126" s="88" t="s">
        <v>59</v>
      </c>
      <c r="W126" s="83" t="s">
        <v>390</v>
      </c>
    </row>
    <row r="127" spans="1:23" ht="30">
      <c r="A127" s="63" t="s">
        <v>69</v>
      </c>
      <c r="B127" s="2" t="s">
        <v>70</v>
      </c>
      <c r="C127" s="82">
        <v>46034</v>
      </c>
      <c r="D127" s="65" t="str">
        <f>YEAR(C127)&amp;"-S0"&amp;WEEKNUM(C127)</f>
        <v>2026-S03</v>
      </c>
      <c r="E127" s="66" t="str">
        <f t="shared" si="16"/>
        <v>2026-M01</v>
      </c>
      <c r="F127" s="65">
        <f t="shared" si="20"/>
        <v>2026</v>
      </c>
      <c r="G127" s="2" t="s">
        <v>156</v>
      </c>
      <c r="H127" s="2" t="s">
        <v>128</v>
      </c>
      <c r="I127" s="2" t="s">
        <v>221</v>
      </c>
      <c r="J127" s="2" t="s">
        <v>344</v>
      </c>
      <c r="K127" s="2" t="s">
        <v>75</v>
      </c>
      <c r="L127" s="2" t="s">
        <v>75</v>
      </c>
      <c r="M127" s="2" t="s">
        <v>131</v>
      </c>
      <c r="N127" s="68">
        <v>0.91666666666666663</v>
      </c>
      <c r="O127" s="68">
        <v>0.9375</v>
      </c>
      <c r="P127" s="69">
        <f t="shared" si="11"/>
        <v>0.50000000000000089</v>
      </c>
      <c r="Q127" s="70">
        <v>3</v>
      </c>
      <c r="R127" s="71" t="str">
        <f t="shared" si="14"/>
        <v>3EDMIBERRECHID</v>
      </c>
      <c r="S127" s="72">
        <f>IF(P127="","",P127/VLOOKUP(R127,'Matrice Productivité '!I:J,2,FALSE)/100)</f>
        <v>3.8739669421487669E-4</v>
      </c>
      <c r="T127" s="24" t="s">
        <v>345</v>
      </c>
      <c r="U127" s="24" t="s">
        <v>346</v>
      </c>
      <c r="V127" s="63" t="s">
        <v>52</v>
      </c>
      <c r="W127" s="2" t="s">
        <v>104</v>
      </c>
    </row>
    <row r="128" spans="1:23" ht="30">
      <c r="A128" s="63" t="s">
        <v>69</v>
      </c>
      <c r="B128" s="2" t="s">
        <v>105</v>
      </c>
      <c r="C128" s="82">
        <v>46034</v>
      </c>
      <c r="D128" s="65" t="str">
        <f t="shared" ref="D128:D131" si="22">YEAR(C128)&amp;"-S0"&amp;WEEKNUM(C128)</f>
        <v>2026-S03</v>
      </c>
      <c r="E128" s="66" t="str">
        <f t="shared" si="16"/>
        <v>2026-M01</v>
      </c>
      <c r="F128" s="65">
        <f t="shared" si="20"/>
        <v>2026</v>
      </c>
      <c r="G128" s="2" t="s">
        <v>127</v>
      </c>
      <c r="H128" s="2" t="s">
        <v>128</v>
      </c>
      <c r="I128" s="2" t="s">
        <v>129</v>
      </c>
      <c r="J128" s="2" t="s">
        <v>130</v>
      </c>
      <c r="K128" s="2" t="s">
        <v>75</v>
      </c>
      <c r="L128" s="2" t="s">
        <v>75</v>
      </c>
      <c r="M128" s="2" t="s">
        <v>131</v>
      </c>
      <c r="N128" s="68">
        <v>0.91666666666666663</v>
      </c>
      <c r="O128" s="68">
        <v>0.97222222222222221</v>
      </c>
      <c r="P128" s="69">
        <f t="shared" si="11"/>
        <v>1.3333333333333339</v>
      </c>
      <c r="Q128" s="2">
        <v>3</v>
      </c>
      <c r="R128" s="71" t="str">
        <f t="shared" si="14"/>
        <v>3EDMIBERRECHID</v>
      </c>
      <c r="S128" s="72">
        <f>IF(P128="","",P128/VLOOKUP(R128,'Matrice Productivité '!I:J,2,FALSE)/100)</f>
        <v>1.0330578512396697E-3</v>
      </c>
      <c r="T128" s="77" t="s">
        <v>347</v>
      </c>
      <c r="U128" s="77" t="s">
        <v>348</v>
      </c>
      <c r="V128" s="63" t="s">
        <v>52</v>
      </c>
      <c r="W128" s="2" t="s">
        <v>155</v>
      </c>
    </row>
    <row r="129" spans="1:202" ht="30">
      <c r="A129" s="63" t="s">
        <v>69</v>
      </c>
      <c r="B129" s="2" t="s">
        <v>105</v>
      </c>
      <c r="C129" s="82">
        <v>46034</v>
      </c>
      <c r="D129" s="65" t="str">
        <f t="shared" si="22"/>
        <v>2026-S03</v>
      </c>
      <c r="E129" s="66" t="str">
        <f t="shared" si="16"/>
        <v>2026-M01</v>
      </c>
      <c r="F129" s="65">
        <f t="shared" si="20"/>
        <v>2026</v>
      </c>
      <c r="G129" s="2" t="s">
        <v>127</v>
      </c>
      <c r="H129" s="2" t="s">
        <v>128</v>
      </c>
      <c r="I129" s="2" t="s">
        <v>129</v>
      </c>
      <c r="J129" s="2" t="s">
        <v>130</v>
      </c>
      <c r="K129" s="2" t="s">
        <v>75</v>
      </c>
      <c r="L129" s="2" t="s">
        <v>75</v>
      </c>
      <c r="M129" s="2" t="s">
        <v>131</v>
      </c>
      <c r="N129" s="68">
        <v>0.96875</v>
      </c>
      <c r="O129" s="68">
        <v>0</v>
      </c>
      <c r="P129" s="69">
        <f>(O129-N129)*24+24</f>
        <v>0.75</v>
      </c>
      <c r="Q129" s="2">
        <v>3</v>
      </c>
      <c r="R129" s="71" t="str">
        <f t="shared" si="14"/>
        <v>3EDMIBERRECHID</v>
      </c>
      <c r="S129" s="72">
        <f>IF(P129="","",P129/VLOOKUP(R129,'Matrice Productivité '!I:J,2,FALSE)/100)</f>
        <v>5.8109504132231396E-4</v>
      </c>
      <c r="T129" s="89" t="s">
        <v>349</v>
      </c>
      <c r="U129" s="89" t="s">
        <v>350</v>
      </c>
      <c r="V129" s="63" t="s">
        <v>141</v>
      </c>
      <c r="W129" s="2" t="s">
        <v>127</v>
      </c>
    </row>
    <row r="130" spans="1:202" ht="30">
      <c r="A130" s="63" t="s">
        <v>69</v>
      </c>
      <c r="B130" s="2" t="s">
        <v>105</v>
      </c>
      <c r="C130" s="82">
        <v>46034</v>
      </c>
      <c r="D130" s="65" t="str">
        <f t="shared" si="22"/>
        <v>2026-S03</v>
      </c>
      <c r="E130" s="66" t="str">
        <f t="shared" si="16"/>
        <v>2026-M01</v>
      </c>
      <c r="F130" s="65">
        <f t="shared" si="20"/>
        <v>2026</v>
      </c>
      <c r="G130" s="2" t="s">
        <v>127</v>
      </c>
      <c r="H130" s="2" t="s">
        <v>128</v>
      </c>
      <c r="I130" s="2" t="s">
        <v>129</v>
      </c>
      <c r="J130" s="2" t="s">
        <v>130</v>
      </c>
      <c r="K130" s="2" t="s">
        <v>75</v>
      </c>
      <c r="L130" s="2" t="s">
        <v>75</v>
      </c>
      <c r="M130" s="2" t="s">
        <v>131</v>
      </c>
      <c r="N130" s="68">
        <v>0</v>
      </c>
      <c r="O130" s="68">
        <v>4.1666666666666664E-2</v>
      </c>
      <c r="P130" s="69">
        <f t="shared" ref="P130:P175" si="23">(O130-N130)*24</f>
        <v>1</v>
      </c>
      <c r="Q130" s="2">
        <v>3</v>
      </c>
      <c r="R130" s="71" t="str">
        <f t="shared" ref="R130:R161" si="24">Q130&amp;L130&amp;A130</f>
        <v>3EDMIBERRECHID</v>
      </c>
      <c r="S130" s="72">
        <f>IF(P130="","",P130/VLOOKUP(R130,'Matrice Productivité '!I:J,2,FALSE)/100)</f>
        <v>7.7479338842975198E-4</v>
      </c>
      <c r="T130" s="24" t="s">
        <v>209</v>
      </c>
      <c r="U130" s="89" t="s">
        <v>351</v>
      </c>
      <c r="V130" s="63" t="s">
        <v>90</v>
      </c>
      <c r="W130" s="2" t="s">
        <v>218</v>
      </c>
    </row>
    <row r="131" spans="1:202" ht="45">
      <c r="A131" s="63" t="s">
        <v>69</v>
      </c>
      <c r="B131" s="2" t="s">
        <v>105</v>
      </c>
      <c r="C131" s="82">
        <v>46034</v>
      </c>
      <c r="D131" s="65" t="str">
        <f t="shared" si="22"/>
        <v>2026-S03</v>
      </c>
      <c r="E131" s="66" t="str">
        <f t="shared" si="16"/>
        <v>2026-M01</v>
      </c>
      <c r="F131" s="65">
        <f t="shared" si="20"/>
        <v>2026</v>
      </c>
      <c r="G131" s="2" t="s">
        <v>106</v>
      </c>
      <c r="H131" s="2" t="s">
        <v>321</v>
      </c>
      <c r="I131" s="2" t="s">
        <v>179</v>
      </c>
      <c r="J131" s="2" t="s">
        <v>183</v>
      </c>
      <c r="K131" s="2" t="s">
        <v>276</v>
      </c>
      <c r="L131" s="2" t="s">
        <v>48</v>
      </c>
      <c r="M131" s="2" t="s">
        <v>214</v>
      </c>
      <c r="N131" s="68">
        <v>0.41319444444444442</v>
      </c>
      <c r="O131" s="68">
        <v>0.4513888888888889</v>
      </c>
      <c r="P131" s="69">
        <f t="shared" si="23"/>
        <v>0.91666666666666741</v>
      </c>
      <c r="Q131" s="70">
        <v>2</v>
      </c>
      <c r="R131" s="71" t="str">
        <f t="shared" si="24"/>
        <v>2LE RESTEBERRECHID</v>
      </c>
      <c r="S131" s="72">
        <f>IF(P131="","",P131/VLOOKUP(R131,'Matrice Productivité '!I:J,2,FALSE)/100)</f>
        <v>3.5511363636363659E-4</v>
      </c>
      <c r="T131" s="24" t="s">
        <v>352</v>
      </c>
      <c r="U131" s="24" t="s">
        <v>353</v>
      </c>
      <c r="V131" s="74" t="s">
        <v>33</v>
      </c>
      <c r="W131" s="2" t="s">
        <v>112</v>
      </c>
    </row>
    <row r="132" spans="1:202" ht="30">
      <c r="A132" s="63" t="s">
        <v>24</v>
      </c>
      <c r="B132" s="63" t="s">
        <v>25</v>
      </c>
      <c r="C132" s="82">
        <v>46034</v>
      </c>
      <c r="D132" s="65" t="str">
        <f t="shared" si="21"/>
        <v>2026-S03</v>
      </c>
      <c r="E132" s="66" t="str">
        <f t="shared" si="16"/>
        <v>2026-M01</v>
      </c>
      <c r="F132" s="65">
        <f t="shared" si="20"/>
        <v>2026</v>
      </c>
      <c r="G132" s="83" t="s">
        <v>26</v>
      </c>
      <c r="H132" s="83" t="s">
        <v>27</v>
      </c>
      <c r="I132" s="83" t="s">
        <v>45</v>
      </c>
      <c r="J132" s="83" t="s">
        <v>341</v>
      </c>
      <c r="K132" s="83" t="s">
        <v>30</v>
      </c>
      <c r="L132" s="83" t="s">
        <v>30</v>
      </c>
      <c r="M132" s="83">
        <v>5012</v>
      </c>
      <c r="N132" s="68">
        <v>0.35416666666666541</v>
      </c>
      <c r="O132" s="68">
        <v>0.72208333333333208</v>
      </c>
      <c r="P132" s="69">
        <f t="shared" si="23"/>
        <v>8.83</v>
      </c>
      <c r="Q132" s="84">
        <v>1</v>
      </c>
      <c r="R132" s="71" t="str">
        <f t="shared" si="24"/>
        <v>1ABBTEMARA</v>
      </c>
      <c r="S132" s="72">
        <f>IF(P132="","",P132/VLOOKUP(R132,'Matrice Productivité '!I:J,2,FALSE)/100)</f>
        <v>1.5386578356236786E-2</v>
      </c>
      <c r="T132" s="50" t="s">
        <v>342</v>
      </c>
      <c r="U132" s="50" t="s">
        <v>343</v>
      </c>
      <c r="V132" s="88" t="s">
        <v>59</v>
      </c>
      <c r="W132" s="83" t="s">
        <v>390</v>
      </c>
    </row>
    <row r="133" spans="1:202" ht="30">
      <c r="A133" s="63" t="s">
        <v>24</v>
      </c>
      <c r="B133" s="63" t="s">
        <v>25</v>
      </c>
      <c r="C133" s="64">
        <v>46034</v>
      </c>
      <c r="D133" s="65" t="str">
        <f t="shared" si="21"/>
        <v>2026-S03</v>
      </c>
      <c r="E133" s="66" t="str">
        <f t="shared" si="16"/>
        <v>2026-M01</v>
      </c>
      <c r="F133" s="65">
        <f t="shared" si="20"/>
        <v>2026</v>
      </c>
      <c r="G133" s="83" t="s">
        <v>26</v>
      </c>
      <c r="H133" s="83" t="s">
        <v>27</v>
      </c>
      <c r="I133" s="63" t="s">
        <v>28</v>
      </c>
      <c r="J133" s="63" t="s">
        <v>29</v>
      </c>
      <c r="K133" s="63" t="s">
        <v>30</v>
      </c>
      <c r="L133" s="63" t="s">
        <v>30</v>
      </c>
      <c r="M133" s="83">
        <v>5012</v>
      </c>
      <c r="N133" s="68">
        <v>0.5</v>
      </c>
      <c r="O133" s="68">
        <v>0.51388888888888928</v>
      </c>
      <c r="P133" s="69">
        <f t="shared" si="23"/>
        <v>0.33333333333334281</v>
      </c>
      <c r="Q133" s="70">
        <v>1</v>
      </c>
      <c r="R133" s="71" t="str">
        <f t="shared" si="24"/>
        <v>1ABBTEMARA</v>
      </c>
      <c r="S133" s="72">
        <f>IF(P133="","",P133/VLOOKUP(R133,'Matrice Productivité '!I:J,2,FALSE)/100)</f>
        <v>5.8084478505991786E-4</v>
      </c>
      <c r="T133" s="73" t="s">
        <v>504</v>
      </c>
      <c r="U133" s="73" t="s">
        <v>61</v>
      </c>
      <c r="V133" s="74" t="s">
        <v>33</v>
      </c>
      <c r="W133" s="63" t="s">
        <v>34</v>
      </c>
    </row>
    <row r="134" spans="1:202" ht="30">
      <c r="A134" s="63" t="s">
        <v>24</v>
      </c>
      <c r="B134" s="63" t="s">
        <v>25</v>
      </c>
      <c r="C134" s="82">
        <v>46035</v>
      </c>
      <c r="D134" s="65" t="str">
        <f t="shared" ref="D134" si="25">YEAR(C134)&amp;"-S0"&amp;WEEKNUM(C134)</f>
        <v>2026-S03</v>
      </c>
      <c r="E134" s="66" t="str">
        <f t="shared" si="16"/>
        <v>2026-M01</v>
      </c>
      <c r="F134" s="65">
        <f t="shared" si="20"/>
        <v>2026</v>
      </c>
      <c r="G134" s="83" t="s">
        <v>26</v>
      </c>
      <c r="H134" s="83" t="s">
        <v>27</v>
      </c>
      <c r="I134" s="83" t="s">
        <v>45</v>
      </c>
      <c r="J134" s="83" t="s">
        <v>341</v>
      </c>
      <c r="K134" s="83" t="s">
        <v>30</v>
      </c>
      <c r="L134" s="83" t="s">
        <v>30</v>
      </c>
      <c r="M134" s="83">
        <v>5012</v>
      </c>
      <c r="N134" s="68">
        <v>0.35416666666666541</v>
      </c>
      <c r="O134" s="68">
        <v>0.72208333333333208</v>
      </c>
      <c r="P134" s="69">
        <f t="shared" si="23"/>
        <v>8.83</v>
      </c>
      <c r="Q134" s="84">
        <v>1</v>
      </c>
      <c r="R134" s="71" t="str">
        <f t="shared" si="24"/>
        <v>1ABBTEMARA</v>
      </c>
      <c r="S134" s="72">
        <f>IF(P134="","",P134/VLOOKUP(R134,'Matrice Productivité '!I:J,2,FALSE)/100)</f>
        <v>1.5386578356236786E-2</v>
      </c>
      <c r="T134" s="50" t="s">
        <v>342</v>
      </c>
      <c r="U134" s="50" t="s">
        <v>343</v>
      </c>
      <c r="V134" s="88" t="s">
        <v>59</v>
      </c>
      <c r="W134" s="83" t="s">
        <v>390</v>
      </c>
    </row>
    <row r="135" spans="1:202" ht="30">
      <c r="A135" s="63" t="s">
        <v>24</v>
      </c>
      <c r="B135" s="63" t="s">
        <v>25</v>
      </c>
      <c r="C135" s="82">
        <v>46035</v>
      </c>
      <c r="D135" s="65" t="str">
        <f>YEAR(C135)&amp;"-S0"&amp;WEEKNUM(C135)</f>
        <v>2026-S03</v>
      </c>
      <c r="E135" s="66" t="str">
        <f t="shared" si="16"/>
        <v>2026-M01</v>
      </c>
      <c r="F135" s="65">
        <f t="shared" si="20"/>
        <v>2026</v>
      </c>
      <c r="G135" s="83" t="s">
        <v>26</v>
      </c>
      <c r="H135" s="83" t="s">
        <v>27</v>
      </c>
      <c r="I135" s="74" t="s">
        <v>308</v>
      </c>
      <c r="J135" s="74" t="s">
        <v>309</v>
      </c>
      <c r="K135" s="83" t="s">
        <v>30</v>
      </c>
      <c r="L135" s="83" t="s">
        <v>30</v>
      </c>
      <c r="M135" s="83">
        <v>5001</v>
      </c>
      <c r="N135" s="68">
        <v>0.39583333333333387</v>
      </c>
      <c r="O135" s="68">
        <v>0.72208333333333385</v>
      </c>
      <c r="P135" s="69">
        <f t="shared" si="23"/>
        <v>7.83</v>
      </c>
      <c r="Q135" s="84">
        <v>1</v>
      </c>
      <c r="R135" s="71" t="str">
        <f t="shared" si="24"/>
        <v>1ABBTEMARA</v>
      </c>
      <c r="S135" s="72">
        <f>IF(P135="","",P135/VLOOKUP(R135,'Matrice Productivité '!I:J,2,FALSE)/100)</f>
        <v>1.3644044001057083E-2</v>
      </c>
      <c r="T135" s="73" t="s">
        <v>355</v>
      </c>
      <c r="U135" s="73" t="s">
        <v>356</v>
      </c>
      <c r="V135" s="63" t="s">
        <v>33</v>
      </c>
      <c r="W135" s="83" t="s">
        <v>357</v>
      </c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  <c r="BP135" s="36"/>
      <c r="BQ135" s="36"/>
      <c r="BR135" s="36"/>
      <c r="BS135" s="36"/>
      <c r="BT135" s="36"/>
      <c r="BU135" s="36"/>
      <c r="BV135" s="36"/>
      <c r="BW135" s="36"/>
      <c r="BX135" s="36"/>
      <c r="BY135" s="36"/>
      <c r="BZ135" s="36"/>
      <c r="CA135" s="36"/>
      <c r="CB135" s="36"/>
      <c r="CC135" s="36"/>
      <c r="CD135" s="36"/>
      <c r="CE135" s="36"/>
      <c r="CF135" s="36"/>
      <c r="CG135" s="36"/>
      <c r="CH135" s="36"/>
      <c r="CI135" s="36"/>
      <c r="CJ135" s="36"/>
      <c r="CK135" s="36"/>
      <c r="CL135" s="36"/>
      <c r="CM135" s="36"/>
      <c r="CN135" s="36"/>
      <c r="CO135" s="36"/>
      <c r="CP135" s="36"/>
      <c r="CQ135" s="36"/>
      <c r="CR135" s="36"/>
      <c r="CS135" s="36"/>
      <c r="CT135" s="36"/>
      <c r="CU135" s="36"/>
      <c r="CV135" s="36"/>
      <c r="CW135" s="36"/>
      <c r="CX135" s="36"/>
      <c r="CY135" s="36"/>
      <c r="CZ135" s="36"/>
      <c r="DA135" s="36"/>
      <c r="DB135" s="36"/>
      <c r="DC135" s="36"/>
      <c r="DD135" s="36"/>
      <c r="DE135" s="36"/>
      <c r="DF135" s="36"/>
      <c r="DG135" s="36"/>
      <c r="DH135" s="36"/>
      <c r="DI135" s="36"/>
      <c r="DJ135" s="36"/>
      <c r="DK135" s="36"/>
      <c r="DL135" s="36"/>
      <c r="DM135" s="36"/>
      <c r="DN135" s="36"/>
      <c r="DO135" s="36"/>
      <c r="DP135" s="36"/>
      <c r="DQ135" s="36"/>
      <c r="DR135" s="36"/>
      <c r="DS135" s="36"/>
      <c r="DT135" s="36"/>
      <c r="DU135" s="36"/>
      <c r="DV135" s="36"/>
      <c r="DW135" s="36"/>
      <c r="DX135" s="36"/>
      <c r="DY135" s="36"/>
      <c r="DZ135" s="36"/>
      <c r="EA135" s="36"/>
      <c r="EB135" s="36"/>
      <c r="EC135" s="36"/>
      <c r="ED135" s="36"/>
      <c r="EE135" s="36"/>
      <c r="EF135" s="36"/>
      <c r="EG135" s="36"/>
      <c r="EH135" s="36"/>
      <c r="EI135" s="36"/>
      <c r="EJ135" s="36"/>
      <c r="EK135" s="36"/>
      <c r="EL135" s="36"/>
      <c r="EM135" s="36"/>
      <c r="EN135" s="36"/>
      <c r="EO135" s="36"/>
      <c r="EP135" s="36"/>
      <c r="EQ135" s="36"/>
      <c r="ER135" s="36"/>
      <c r="ES135" s="36"/>
      <c r="ET135" s="36"/>
      <c r="EU135" s="36"/>
      <c r="EV135" s="36"/>
      <c r="EW135" s="36"/>
      <c r="EX135" s="36"/>
      <c r="EY135" s="36"/>
      <c r="EZ135" s="36"/>
      <c r="FA135" s="36"/>
      <c r="FB135" s="36"/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  <c r="GK135" s="36"/>
      <c r="GL135" s="36"/>
      <c r="GM135" s="36"/>
      <c r="GN135" s="36"/>
      <c r="GO135" s="36"/>
      <c r="GP135" s="36"/>
      <c r="GQ135" s="36"/>
      <c r="GR135" s="36"/>
      <c r="GS135" s="36"/>
      <c r="GT135" s="36"/>
    </row>
    <row r="136" spans="1:202" ht="30">
      <c r="A136" s="63" t="s">
        <v>24</v>
      </c>
      <c r="B136" s="63" t="s">
        <v>25</v>
      </c>
      <c r="C136" s="82">
        <v>46036</v>
      </c>
      <c r="D136" s="65" t="str">
        <f>YEAR(C136)&amp;"-S0"&amp;WEEKNUM(C136)</f>
        <v>2026-S03</v>
      </c>
      <c r="E136" s="66" t="str">
        <f t="shared" si="16"/>
        <v>2026-M01</v>
      </c>
      <c r="F136" s="65">
        <f t="shared" si="20"/>
        <v>2026</v>
      </c>
      <c r="G136" s="83" t="s">
        <v>26</v>
      </c>
      <c r="H136" s="83" t="s">
        <v>27</v>
      </c>
      <c r="I136" s="74" t="s">
        <v>308</v>
      </c>
      <c r="J136" s="74" t="s">
        <v>309</v>
      </c>
      <c r="K136" s="83" t="s">
        <v>30</v>
      </c>
      <c r="L136" s="83" t="s">
        <v>30</v>
      </c>
      <c r="M136" s="83">
        <v>5001</v>
      </c>
      <c r="N136" s="68">
        <v>0.35416666666666669</v>
      </c>
      <c r="O136" s="68">
        <v>0.4375</v>
      </c>
      <c r="P136" s="69">
        <f t="shared" si="23"/>
        <v>1.9999999999999996</v>
      </c>
      <c r="Q136" s="84">
        <v>1</v>
      </c>
      <c r="R136" s="71" t="str">
        <f t="shared" si="24"/>
        <v>1ABBTEMARA</v>
      </c>
      <c r="S136" s="72">
        <f>IF(P136="","",P136/VLOOKUP(R136,'Matrice Productivité '!I:J,2,FALSE)/100)</f>
        <v>3.4850687103594076E-3</v>
      </c>
      <c r="T136" s="73" t="s">
        <v>358</v>
      </c>
      <c r="U136" s="73" t="s">
        <v>359</v>
      </c>
      <c r="V136" s="63" t="s">
        <v>33</v>
      </c>
      <c r="W136" s="83" t="s">
        <v>26</v>
      </c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6"/>
      <c r="BQ136" s="36"/>
      <c r="BR136" s="36"/>
      <c r="BS136" s="36"/>
      <c r="BT136" s="36"/>
      <c r="BU136" s="36"/>
      <c r="BV136" s="36"/>
      <c r="BW136" s="36"/>
      <c r="BX136" s="36"/>
      <c r="BY136" s="36"/>
      <c r="BZ136" s="36"/>
      <c r="CA136" s="36"/>
      <c r="CB136" s="36"/>
      <c r="CC136" s="36"/>
      <c r="CD136" s="36"/>
      <c r="CE136" s="36"/>
      <c r="CF136" s="36"/>
      <c r="CG136" s="36"/>
      <c r="CH136" s="36"/>
      <c r="CI136" s="36"/>
      <c r="CJ136" s="36"/>
      <c r="CK136" s="36"/>
      <c r="CL136" s="36"/>
      <c r="CM136" s="36"/>
      <c r="CN136" s="36"/>
      <c r="CO136" s="36"/>
      <c r="CP136" s="36"/>
      <c r="CQ136" s="36"/>
      <c r="CR136" s="36"/>
      <c r="CS136" s="36"/>
      <c r="CT136" s="36"/>
      <c r="CU136" s="36"/>
      <c r="CV136" s="36"/>
      <c r="CW136" s="36"/>
      <c r="CX136" s="36"/>
      <c r="CY136" s="36"/>
      <c r="CZ136" s="36"/>
      <c r="DA136" s="36"/>
      <c r="DB136" s="36"/>
      <c r="DC136" s="36"/>
      <c r="DD136" s="36"/>
      <c r="DE136" s="36"/>
      <c r="DF136" s="36"/>
      <c r="DG136" s="36"/>
      <c r="DH136" s="36"/>
      <c r="DI136" s="36"/>
      <c r="DJ136" s="36"/>
      <c r="DK136" s="36"/>
      <c r="DL136" s="36"/>
      <c r="DM136" s="36"/>
      <c r="DN136" s="36"/>
      <c r="DO136" s="36"/>
      <c r="DP136" s="36"/>
      <c r="DQ136" s="36"/>
      <c r="DR136" s="36"/>
      <c r="DS136" s="36"/>
      <c r="DT136" s="36"/>
      <c r="DU136" s="36"/>
      <c r="DV136" s="36"/>
      <c r="DW136" s="36"/>
      <c r="DX136" s="36"/>
      <c r="DY136" s="36"/>
      <c r="DZ136" s="36"/>
      <c r="EA136" s="36"/>
      <c r="EB136" s="36"/>
      <c r="EC136" s="36"/>
      <c r="ED136" s="36"/>
      <c r="EE136" s="36"/>
      <c r="EF136" s="36"/>
      <c r="EG136" s="36"/>
      <c r="EH136" s="36"/>
      <c r="EI136" s="36"/>
      <c r="EJ136" s="36"/>
      <c r="EK136" s="36"/>
      <c r="EL136" s="36"/>
      <c r="EM136" s="36"/>
      <c r="EN136" s="36"/>
      <c r="EO136" s="36"/>
      <c r="EP136" s="36"/>
      <c r="EQ136" s="36"/>
      <c r="ER136" s="36"/>
      <c r="ES136" s="36"/>
      <c r="ET136" s="36"/>
      <c r="EU136" s="36"/>
      <c r="EV136" s="36"/>
      <c r="EW136" s="36"/>
      <c r="EX136" s="36"/>
      <c r="EY136" s="36"/>
      <c r="EZ136" s="36"/>
      <c r="FA136" s="36"/>
      <c r="FB136" s="36"/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  <c r="GK136" s="36"/>
      <c r="GL136" s="36"/>
      <c r="GM136" s="36"/>
      <c r="GN136" s="36"/>
      <c r="GO136" s="36"/>
      <c r="GP136" s="36"/>
      <c r="GQ136" s="36"/>
      <c r="GR136" s="36"/>
      <c r="GS136" s="36"/>
      <c r="GT136" s="36"/>
    </row>
    <row r="137" spans="1:202" ht="30">
      <c r="A137" s="63" t="s">
        <v>24</v>
      </c>
      <c r="B137" s="63" t="s">
        <v>25</v>
      </c>
      <c r="C137" s="82">
        <v>46036</v>
      </c>
      <c r="D137" s="65" t="str">
        <f t="shared" ref="D137" si="26">YEAR(C137)&amp;"-S0"&amp;WEEKNUM(C137)</f>
        <v>2026-S03</v>
      </c>
      <c r="E137" s="66" t="str">
        <f t="shared" si="16"/>
        <v>2026-M01</v>
      </c>
      <c r="F137" s="65">
        <f t="shared" si="20"/>
        <v>2026</v>
      </c>
      <c r="G137" s="83" t="s">
        <v>26</v>
      </c>
      <c r="H137" s="83" t="s">
        <v>27</v>
      </c>
      <c r="I137" s="83" t="s">
        <v>45</v>
      </c>
      <c r="J137" s="83" t="s">
        <v>341</v>
      </c>
      <c r="K137" s="83" t="s">
        <v>30</v>
      </c>
      <c r="L137" s="83" t="s">
        <v>30</v>
      </c>
      <c r="M137" s="83">
        <v>5012</v>
      </c>
      <c r="N137" s="68">
        <v>0.35416666666666541</v>
      </c>
      <c r="O137" s="68">
        <v>0.72208333333333208</v>
      </c>
      <c r="P137" s="69">
        <f t="shared" si="23"/>
        <v>8.83</v>
      </c>
      <c r="Q137" s="84">
        <v>1</v>
      </c>
      <c r="R137" s="71" t="str">
        <f t="shared" si="24"/>
        <v>1ABBTEMARA</v>
      </c>
      <c r="S137" s="72">
        <f>IF(P137="","",P137/VLOOKUP(R137,'Matrice Productivité '!I:J,2,FALSE)/100)</f>
        <v>1.5386578356236786E-2</v>
      </c>
      <c r="T137" s="50" t="s">
        <v>342</v>
      </c>
      <c r="U137" s="50" t="s">
        <v>343</v>
      </c>
      <c r="V137" s="88" t="s">
        <v>59</v>
      </c>
      <c r="W137" s="83" t="s">
        <v>390</v>
      </c>
    </row>
    <row r="138" spans="1:202" ht="63" customHeight="1">
      <c r="A138" s="63" t="s">
        <v>69</v>
      </c>
      <c r="B138" s="2" t="s">
        <v>105</v>
      </c>
      <c r="C138" s="82">
        <v>46035</v>
      </c>
      <c r="D138" s="65" t="str">
        <f>YEAR(C138)&amp;"-S0"&amp;WEEKNUM(C138)</f>
        <v>2026-S03</v>
      </c>
      <c r="E138" s="66" t="str">
        <f t="shared" si="16"/>
        <v>2026-M01</v>
      </c>
      <c r="F138" s="65">
        <f t="shared" si="20"/>
        <v>2026</v>
      </c>
      <c r="G138" s="2" t="s">
        <v>106</v>
      </c>
      <c r="H138" s="2" t="s">
        <v>99</v>
      </c>
      <c r="I138" s="2" t="s">
        <v>322</v>
      </c>
      <c r="J138" s="2" t="s">
        <v>360</v>
      </c>
      <c r="K138" s="2" t="s">
        <v>361</v>
      </c>
      <c r="L138" s="63" t="s">
        <v>48</v>
      </c>
      <c r="M138" s="2" t="s">
        <v>362</v>
      </c>
      <c r="N138" s="68">
        <v>0.58333333333333337</v>
      </c>
      <c r="O138" s="68">
        <v>0.91666666666666663</v>
      </c>
      <c r="P138" s="69">
        <f t="shared" si="23"/>
        <v>7.9999999999999982</v>
      </c>
      <c r="Q138" s="70">
        <v>2</v>
      </c>
      <c r="R138" s="71" t="str">
        <f t="shared" si="24"/>
        <v>2LE RESTEBERRECHID</v>
      </c>
      <c r="S138" s="72">
        <f>IF(P138="","",P138/VLOOKUP(R138,'Matrice Productivité '!I:J,2,FALSE)/100)</f>
        <v>3.0991735537190075E-3</v>
      </c>
      <c r="T138" s="77" t="s">
        <v>363</v>
      </c>
      <c r="U138" s="77" t="s">
        <v>364</v>
      </c>
      <c r="V138" s="74" t="s">
        <v>33</v>
      </c>
      <c r="W138" s="2" t="s">
        <v>365</v>
      </c>
    </row>
    <row r="139" spans="1:202" ht="44.25" customHeight="1">
      <c r="A139" s="63" t="s">
        <v>69</v>
      </c>
      <c r="B139" s="2" t="s">
        <v>70</v>
      </c>
      <c r="C139" s="39">
        <v>46036</v>
      </c>
      <c r="D139" s="65" t="str">
        <f t="shared" ref="D139:D141" si="27">YEAR(C139)&amp;"-S0"&amp;WEEKNUM(C139)</f>
        <v>2026-S03</v>
      </c>
      <c r="E139" s="66" t="str">
        <f t="shared" si="16"/>
        <v>2026-M01</v>
      </c>
      <c r="F139" s="65">
        <f t="shared" si="20"/>
        <v>2026</v>
      </c>
      <c r="G139" s="2" t="s">
        <v>71</v>
      </c>
      <c r="H139" s="2" t="s">
        <v>321</v>
      </c>
      <c r="I139" s="2" t="s">
        <v>235</v>
      </c>
      <c r="J139" s="2" t="s">
        <v>236</v>
      </c>
      <c r="K139" s="2" t="s">
        <v>75</v>
      </c>
      <c r="L139" s="2" t="s">
        <v>75</v>
      </c>
      <c r="M139" s="90" t="s">
        <v>237</v>
      </c>
      <c r="N139" s="68">
        <v>0.5</v>
      </c>
      <c r="O139" s="68">
        <v>0.56874999999999998</v>
      </c>
      <c r="P139" s="69">
        <f t="shared" si="23"/>
        <v>1.6499999999999995</v>
      </c>
      <c r="Q139" s="2">
        <v>3</v>
      </c>
      <c r="R139" s="71" t="str">
        <f t="shared" si="24"/>
        <v>3EDMIBERRECHID</v>
      </c>
      <c r="S139" s="72">
        <f>IF(P139="","",P139/VLOOKUP(R139,'Matrice Productivité '!I:J,2,FALSE)/100)</f>
        <v>1.2784090909090903E-3</v>
      </c>
      <c r="T139" s="24" t="s">
        <v>209</v>
      </c>
      <c r="U139" s="24" t="s">
        <v>366</v>
      </c>
      <c r="V139" s="63" t="s">
        <v>52</v>
      </c>
      <c r="W139" s="88" t="s">
        <v>85</v>
      </c>
    </row>
    <row r="140" spans="1:202" ht="44.25" customHeight="1">
      <c r="A140" s="63" t="s">
        <v>367</v>
      </c>
      <c r="B140" s="2" t="s">
        <v>105</v>
      </c>
      <c r="C140" s="39">
        <v>46034</v>
      </c>
      <c r="D140" s="65" t="str">
        <f t="shared" si="27"/>
        <v>2026-S03</v>
      </c>
      <c r="E140" s="66" t="str">
        <f t="shared" ref="E140" si="28">YEAR(C140)&amp;"-M0"&amp;MONTH(C140)</f>
        <v>2026-M01</v>
      </c>
      <c r="F140" s="65">
        <f t="shared" ref="F140" si="29">YEAR(C140)</f>
        <v>2026</v>
      </c>
      <c r="G140" s="2" t="s">
        <v>368</v>
      </c>
      <c r="H140" s="2" t="s">
        <v>72</v>
      </c>
      <c r="I140" s="2" t="s">
        <v>129</v>
      </c>
      <c r="J140" s="2" t="s">
        <v>130</v>
      </c>
      <c r="K140" s="2" t="s">
        <v>75</v>
      </c>
      <c r="L140" s="2" t="s">
        <v>75</v>
      </c>
      <c r="M140" s="2" t="s">
        <v>131</v>
      </c>
      <c r="N140" s="68">
        <v>0.37083333333333335</v>
      </c>
      <c r="O140" s="68">
        <v>0.38819444444444445</v>
      </c>
      <c r="P140" s="69">
        <f t="shared" si="23"/>
        <v>0.41666666666666652</v>
      </c>
      <c r="Q140" s="2">
        <v>3</v>
      </c>
      <c r="R140" s="71" t="str">
        <f t="shared" si="24"/>
        <v>3EDMIBerrechid</v>
      </c>
      <c r="S140" s="72">
        <f>IF(P140="","",P140/VLOOKUP(R140,'Matrice Productivité '!I:J,2,FALSE)/100)</f>
        <v>3.2283057851239654E-4</v>
      </c>
      <c r="T140" s="24" t="s">
        <v>369</v>
      </c>
      <c r="U140" s="24" t="s">
        <v>370</v>
      </c>
      <c r="V140" s="63" t="s">
        <v>33</v>
      </c>
      <c r="W140" s="88" t="s">
        <v>371</v>
      </c>
      <c r="X140" s="2" t="s">
        <v>372</v>
      </c>
    </row>
    <row r="141" spans="1:202" ht="30">
      <c r="A141" s="63" t="s">
        <v>69</v>
      </c>
      <c r="B141" s="2" t="s">
        <v>105</v>
      </c>
      <c r="C141" s="39">
        <v>46037</v>
      </c>
      <c r="D141" s="65" t="str">
        <f t="shared" si="27"/>
        <v>2026-S03</v>
      </c>
      <c r="E141" s="66" t="str">
        <f t="shared" si="16"/>
        <v>2026-M01</v>
      </c>
      <c r="F141" s="65">
        <f t="shared" si="20"/>
        <v>2026</v>
      </c>
      <c r="G141" s="2" t="s">
        <v>127</v>
      </c>
      <c r="H141" s="2" t="s">
        <v>128</v>
      </c>
      <c r="I141" s="2" t="s">
        <v>129</v>
      </c>
      <c r="J141" s="2" t="s">
        <v>130</v>
      </c>
      <c r="K141" s="2" t="s">
        <v>75</v>
      </c>
      <c r="L141" s="2" t="s">
        <v>75</v>
      </c>
      <c r="M141" s="2" t="s">
        <v>131</v>
      </c>
      <c r="N141" s="68">
        <v>3.472222222222221E-2</v>
      </c>
      <c r="O141" s="68">
        <v>0.25</v>
      </c>
      <c r="P141" s="69">
        <f t="shared" si="23"/>
        <v>5.166666666666667</v>
      </c>
      <c r="Q141" s="2">
        <v>3</v>
      </c>
      <c r="R141" s="71" t="str">
        <f t="shared" si="24"/>
        <v>3EDMIBERRECHID</v>
      </c>
      <c r="S141" s="72">
        <f>IF(P141="","",P141/VLOOKUP(R141,'Matrice Productivité '!I:J,2,FALSE)/100)</f>
        <v>4.0030991735537187E-3</v>
      </c>
      <c r="T141" s="75" t="s">
        <v>88</v>
      </c>
      <c r="U141" s="24" t="s">
        <v>373</v>
      </c>
      <c r="V141" s="74" t="s">
        <v>90</v>
      </c>
      <c r="W141" s="2" t="s">
        <v>91</v>
      </c>
    </row>
    <row r="142" spans="1:202" ht="30">
      <c r="A142" s="63" t="s">
        <v>24</v>
      </c>
      <c r="B142" s="63" t="s">
        <v>25</v>
      </c>
      <c r="C142" s="82">
        <v>46037</v>
      </c>
      <c r="D142" s="65" t="str">
        <f t="shared" ref="D142" si="30">YEAR(C142)&amp;"-S0"&amp;WEEKNUM(C142)</f>
        <v>2026-S03</v>
      </c>
      <c r="E142" s="66" t="str">
        <f t="shared" si="16"/>
        <v>2026-M01</v>
      </c>
      <c r="F142" s="65">
        <f t="shared" si="20"/>
        <v>2026</v>
      </c>
      <c r="G142" s="83" t="s">
        <v>26</v>
      </c>
      <c r="H142" s="83" t="s">
        <v>27</v>
      </c>
      <c r="I142" s="83" t="s">
        <v>45</v>
      </c>
      <c r="J142" s="83" t="s">
        <v>341</v>
      </c>
      <c r="K142" s="83" t="s">
        <v>30</v>
      </c>
      <c r="L142" s="83" t="s">
        <v>30</v>
      </c>
      <c r="M142" s="83">
        <v>5012</v>
      </c>
      <c r="N142" s="68">
        <v>0.35416666666666607</v>
      </c>
      <c r="O142" s="68">
        <v>0.75</v>
      </c>
      <c r="P142" s="69">
        <f t="shared" si="23"/>
        <v>9.5000000000000142</v>
      </c>
      <c r="Q142" s="84">
        <v>1</v>
      </c>
      <c r="R142" s="71" t="str">
        <f t="shared" si="24"/>
        <v>1ABBTEMARA</v>
      </c>
      <c r="S142" s="72">
        <f>IF(P142="","",P142/VLOOKUP(R142,'Matrice Productivité '!I:J,2,FALSE)/100)</f>
        <v>1.6554076374207211E-2</v>
      </c>
      <c r="T142" s="50" t="s">
        <v>342</v>
      </c>
      <c r="U142" s="50" t="s">
        <v>343</v>
      </c>
      <c r="V142" s="88" t="s">
        <v>59</v>
      </c>
      <c r="W142" s="83" t="s">
        <v>390</v>
      </c>
    </row>
    <row r="143" spans="1:202" ht="87" customHeight="1">
      <c r="A143" s="63" t="s">
        <v>69</v>
      </c>
      <c r="B143" s="2" t="s">
        <v>105</v>
      </c>
      <c r="C143" s="39">
        <v>46037</v>
      </c>
      <c r="D143" s="65" t="str">
        <f>YEAR(C143)&amp;"-S0"&amp;WEEKNUM(C143)</f>
        <v>2026-S03</v>
      </c>
      <c r="E143" s="66" t="str">
        <f t="shared" si="16"/>
        <v>2026-M01</v>
      </c>
      <c r="F143" s="65">
        <f t="shared" ref="F143" si="31">YEAR(C143)</f>
        <v>2026</v>
      </c>
      <c r="G143" s="2" t="s">
        <v>106</v>
      </c>
      <c r="H143" s="2" t="s">
        <v>99</v>
      </c>
      <c r="I143" s="2" t="s">
        <v>179</v>
      </c>
      <c r="J143" s="2" t="s">
        <v>183</v>
      </c>
      <c r="K143" s="2" t="s">
        <v>374</v>
      </c>
      <c r="L143" s="2" t="s">
        <v>48</v>
      </c>
      <c r="M143" s="2" t="s">
        <v>375</v>
      </c>
      <c r="N143" s="68">
        <v>0.64583333333333337</v>
      </c>
      <c r="O143" s="68">
        <v>0.6875</v>
      </c>
      <c r="P143" s="69">
        <f t="shared" si="23"/>
        <v>0.99999999999999911</v>
      </c>
      <c r="Q143" s="70">
        <v>2</v>
      </c>
      <c r="R143" s="71" t="str">
        <f t="shared" si="24"/>
        <v>2LE RESTEBERRECHID</v>
      </c>
      <c r="S143" s="72">
        <f>IF(P143="","",P143/VLOOKUP(R143,'Matrice Productivité '!I:J,2,FALSE)/100)</f>
        <v>3.8739669421487566E-4</v>
      </c>
      <c r="T143" s="24" t="s">
        <v>376</v>
      </c>
      <c r="U143" s="24" t="s">
        <v>377</v>
      </c>
      <c r="V143" s="74" t="s">
        <v>33</v>
      </c>
      <c r="W143" s="2" t="s">
        <v>145</v>
      </c>
    </row>
    <row r="144" spans="1:202" ht="87" customHeight="1">
      <c r="A144" s="63" t="s">
        <v>69</v>
      </c>
      <c r="B144" s="2" t="s">
        <v>105</v>
      </c>
      <c r="C144" s="39">
        <v>46037</v>
      </c>
      <c r="D144" s="65" t="str">
        <f>YEAR(C144)&amp;"-S0"&amp;WEEKNUM(C144)</f>
        <v>2026-S03</v>
      </c>
      <c r="E144" s="66" t="str">
        <f t="shared" si="16"/>
        <v>2026-M01</v>
      </c>
      <c r="F144" s="65">
        <f t="shared" si="20"/>
        <v>2026</v>
      </c>
      <c r="G144" s="2" t="s">
        <v>106</v>
      </c>
      <c r="H144" s="2" t="s">
        <v>99</v>
      </c>
      <c r="I144" s="2" t="s">
        <v>179</v>
      </c>
      <c r="J144" s="2" t="s">
        <v>183</v>
      </c>
      <c r="K144" s="2" t="s">
        <v>374</v>
      </c>
      <c r="L144" s="2" t="s">
        <v>48</v>
      </c>
      <c r="M144" s="2" t="s">
        <v>375</v>
      </c>
      <c r="N144" s="68">
        <v>0.64583333333333337</v>
      </c>
      <c r="O144" s="68">
        <v>0.6875</v>
      </c>
      <c r="P144" s="69">
        <f t="shared" si="23"/>
        <v>0.99999999999999911</v>
      </c>
      <c r="Q144" s="70">
        <v>2</v>
      </c>
      <c r="R144" s="71" t="str">
        <f t="shared" si="24"/>
        <v>2LE RESTEBERRECHID</v>
      </c>
      <c r="S144" s="72">
        <f>IF(P144="","",P144/VLOOKUP(R144,'Matrice Productivité '!I:J,2,FALSE)/100)</f>
        <v>3.8739669421487566E-4</v>
      </c>
      <c r="T144" s="24" t="s">
        <v>378</v>
      </c>
      <c r="U144" s="24" t="s">
        <v>379</v>
      </c>
      <c r="V144" s="74" t="s">
        <v>52</v>
      </c>
      <c r="W144" s="2" t="s">
        <v>380</v>
      </c>
    </row>
    <row r="145" spans="1:202" ht="58.5" customHeight="1">
      <c r="A145" s="63" t="s">
        <v>69</v>
      </c>
      <c r="B145" s="2" t="s">
        <v>105</v>
      </c>
      <c r="C145" s="39">
        <v>46037</v>
      </c>
      <c r="D145" s="65" t="str">
        <f t="shared" ref="D145:D167" si="32">YEAR(C145)&amp;"-S0"&amp;WEEKNUM(C145)</f>
        <v>2026-S03</v>
      </c>
      <c r="E145" s="66" t="str">
        <f t="shared" ref="E145:E167" si="33">YEAR(C145)&amp;"-M0"&amp;MONTH(C145)</f>
        <v>2026-M01</v>
      </c>
      <c r="F145" s="65">
        <f t="shared" si="20"/>
        <v>2026</v>
      </c>
      <c r="G145" s="2" t="s">
        <v>106</v>
      </c>
      <c r="H145" s="2" t="s">
        <v>99</v>
      </c>
      <c r="I145" s="2" t="s">
        <v>381</v>
      </c>
      <c r="J145" s="2" t="s">
        <v>382</v>
      </c>
      <c r="K145" s="2" t="s">
        <v>213</v>
      </c>
      <c r="L145" s="2" t="s">
        <v>48</v>
      </c>
      <c r="M145" s="2" t="s">
        <v>214</v>
      </c>
      <c r="N145" s="68">
        <v>0.64583333333333337</v>
      </c>
      <c r="O145" s="68">
        <v>0.91666666666666663</v>
      </c>
      <c r="P145" s="69">
        <f t="shared" si="23"/>
        <v>6.4999999999999982</v>
      </c>
      <c r="Q145" s="70">
        <v>2</v>
      </c>
      <c r="R145" s="71" t="str">
        <f t="shared" si="24"/>
        <v>2LE RESTEBERRECHID</v>
      </c>
      <c r="S145" s="72">
        <f>IF(P145="","",P145/VLOOKUP(R145,'Matrice Productivité '!I:J,2,FALSE)/100)</f>
        <v>2.5180785123966932E-3</v>
      </c>
      <c r="T145" s="24" t="s">
        <v>383</v>
      </c>
      <c r="U145" s="24" t="s">
        <v>384</v>
      </c>
      <c r="V145" s="74" t="s">
        <v>33</v>
      </c>
      <c r="W145" s="2" t="s">
        <v>112</v>
      </c>
    </row>
    <row r="146" spans="1:202" ht="58.5" customHeight="1">
      <c r="A146" s="63" t="s">
        <v>24</v>
      </c>
      <c r="B146" s="63" t="s">
        <v>25</v>
      </c>
      <c r="C146" s="82">
        <v>46038</v>
      </c>
      <c r="D146" s="65" t="str">
        <f>YEAR(C146)&amp;"-S0"&amp;WEEKNUM(C146)</f>
        <v>2026-S03</v>
      </c>
      <c r="E146" s="66" t="str">
        <f>YEAR(C146)&amp;"-M0"&amp;MONTH(C146)</f>
        <v>2026-M01</v>
      </c>
      <c r="F146" s="65">
        <f>YEAR(C146)</f>
        <v>2026</v>
      </c>
      <c r="G146" s="83" t="s">
        <v>312</v>
      </c>
      <c r="H146" s="83" t="s">
        <v>27</v>
      </c>
      <c r="I146" s="83" t="s">
        <v>385</v>
      </c>
      <c r="J146" s="83" t="s">
        <v>224</v>
      </c>
      <c r="K146" s="2" t="s">
        <v>318</v>
      </c>
      <c r="L146" s="2" t="s">
        <v>318</v>
      </c>
      <c r="M146" s="83" t="s">
        <v>386</v>
      </c>
      <c r="N146" s="68">
        <v>0.35416666666666607</v>
      </c>
      <c r="O146" s="68">
        <v>0.5</v>
      </c>
      <c r="P146" s="69">
        <f t="shared" si="23"/>
        <v>3.5000000000000142</v>
      </c>
      <c r="Q146" s="84">
        <v>1</v>
      </c>
      <c r="R146" s="71" t="str">
        <f t="shared" si="24"/>
        <v>1SOLUSCOPETEMARA</v>
      </c>
      <c r="S146" s="72">
        <f>IF(P146="","",P146/VLOOKUP(R146,'Matrice Productivité '!I:J,2,FALSE)/100)</f>
        <v>6.7006114261003544E-4</v>
      </c>
      <c r="T146" s="75" t="s">
        <v>88</v>
      </c>
      <c r="U146" s="50" t="s">
        <v>387</v>
      </c>
      <c r="V146" s="2" t="s">
        <v>90</v>
      </c>
      <c r="W146" s="83" t="s">
        <v>312</v>
      </c>
    </row>
    <row r="147" spans="1:202" ht="58.5" customHeight="1">
      <c r="A147" s="63" t="s">
        <v>24</v>
      </c>
      <c r="B147" s="63" t="s">
        <v>25</v>
      </c>
      <c r="C147" s="82">
        <v>46038</v>
      </c>
      <c r="D147" s="65" t="str">
        <f>YEAR(C147)&amp;"-S0"&amp;WEEKNUM(C147)</f>
        <v>2026-S03</v>
      </c>
      <c r="E147" s="66" t="str">
        <f>YEAR(C147)&amp;"-M0"&amp;MONTH(C147)</f>
        <v>2026-M01</v>
      </c>
      <c r="F147" s="65">
        <f>YEAR(C147)</f>
        <v>2026</v>
      </c>
      <c r="G147" s="83" t="s">
        <v>26</v>
      </c>
      <c r="H147" s="83" t="s">
        <v>27</v>
      </c>
      <c r="I147" s="83" t="s">
        <v>45</v>
      </c>
      <c r="J147" s="83" t="s">
        <v>341</v>
      </c>
      <c r="K147" s="83" t="s">
        <v>30</v>
      </c>
      <c r="L147" s="83" t="s">
        <v>30</v>
      </c>
      <c r="M147" s="83">
        <v>5012</v>
      </c>
      <c r="N147" s="68">
        <v>0.35416666666666607</v>
      </c>
      <c r="O147" s="68">
        <v>0.75</v>
      </c>
      <c r="P147" s="69">
        <f t="shared" si="23"/>
        <v>9.5000000000000142</v>
      </c>
      <c r="Q147" s="84">
        <v>1</v>
      </c>
      <c r="R147" s="71" t="str">
        <f t="shared" si="24"/>
        <v>1ABBTEMARA</v>
      </c>
      <c r="S147" s="72">
        <f>IF(P147="","",P147/VLOOKUP(R147,'Matrice Productivité '!I:J,2,FALSE)/100)</f>
        <v>1.6554076374207211E-2</v>
      </c>
      <c r="T147" s="50" t="s">
        <v>342</v>
      </c>
      <c r="U147" s="50" t="s">
        <v>343</v>
      </c>
      <c r="V147" s="88" t="s">
        <v>59</v>
      </c>
      <c r="W147" s="83" t="s">
        <v>390</v>
      </c>
    </row>
    <row r="148" spans="1:202" ht="30">
      <c r="A148" s="63" t="s">
        <v>69</v>
      </c>
      <c r="B148" s="2" t="s">
        <v>70</v>
      </c>
      <c r="C148" s="39">
        <v>46041</v>
      </c>
      <c r="D148" s="65" t="str">
        <f t="shared" si="32"/>
        <v>2026-S04</v>
      </c>
      <c r="E148" s="66" t="str">
        <f t="shared" si="33"/>
        <v>2026-M01</v>
      </c>
      <c r="F148" s="65">
        <f t="shared" si="20"/>
        <v>2026</v>
      </c>
      <c r="G148" s="63" t="s">
        <v>98</v>
      </c>
      <c r="H148" s="2" t="s">
        <v>72</v>
      </c>
      <c r="I148" s="2" t="s">
        <v>224</v>
      </c>
      <c r="J148" s="2" t="s">
        <v>388</v>
      </c>
      <c r="K148" s="2" t="s">
        <v>75</v>
      </c>
      <c r="L148" s="2" t="s">
        <v>75</v>
      </c>
      <c r="M148" s="2" t="s">
        <v>226</v>
      </c>
      <c r="N148" s="68">
        <v>0.25</v>
      </c>
      <c r="O148" s="68">
        <v>0.3125</v>
      </c>
      <c r="P148" s="69">
        <f t="shared" si="23"/>
        <v>1.5</v>
      </c>
      <c r="Q148" s="70">
        <v>3</v>
      </c>
      <c r="R148" s="71" t="str">
        <f t="shared" si="24"/>
        <v>3EDMIBERRECHID</v>
      </c>
      <c r="S148" s="72">
        <f>IF(P148="","",P148/VLOOKUP(R148,'Matrice Productivité '!I:J,2,FALSE)/100)</f>
        <v>1.1621900826446279E-3</v>
      </c>
      <c r="T148" s="24" t="s">
        <v>282</v>
      </c>
      <c r="U148" s="24" t="s">
        <v>389</v>
      </c>
      <c r="V148" s="88" t="s">
        <v>59</v>
      </c>
      <c r="W148" s="2" t="s">
        <v>390</v>
      </c>
    </row>
    <row r="149" spans="1:202" ht="45">
      <c r="A149" s="63" t="s">
        <v>69</v>
      </c>
      <c r="B149" s="2" t="s">
        <v>105</v>
      </c>
      <c r="C149" s="39">
        <v>46041</v>
      </c>
      <c r="D149" s="65" t="str">
        <f t="shared" si="32"/>
        <v>2026-S04</v>
      </c>
      <c r="E149" s="66" t="str">
        <f t="shared" si="33"/>
        <v>2026-M01</v>
      </c>
      <c r="F149" s="65">
        <f t="shared" si="20"/>
        <v>2026</v>
      </c>
      <c r="G149" s="2" t="s">
        <v>106</v>
      </c>
      <c r="H149" s="2" t="s">
        <v>72</v>
      </c>
      <c r="I149" s="2" t="s">
        <v>381</v>
      </c>
      <c r="J149" s="2" t="s">
        <v>382</v>
      </c>
      <c r="K149" s="2" t="s">
        <v>213</v>
      </c>
      <c r="L149" s="2" t="s">
        <v>48</v>
      </c>
      <c r="M149" s="2" t="s">
        <v>214</v>
      </c>
      <c r="N149" s="68">
        <v>0.25</v>
      </c>
      <c r="O149" s="68">
        <v>0.375</v>
      </c>
      <c r="P149" s="69">
        <f t="shared" si="23"/>
        <v>3</v>
      </c>
      <c r="Q149" s="70">
        <v>2</v>
      </c>
      <c r="R149" s="71" t="str">
        <f t="shared" si="24"/>
        <v>2LE RESTEBERRECHID</v>
      </c>
      <c r="S149" s="72">
        <f>IF(P149="","",P149/VLOOKUP(R149,'Matrice Productivité '!I:J,2,FALSE)/100)</f>
        <v>1.1621900826446279E-3</v>
      </c>
      <c r="T149" s="24" t="s">
        <v>383</v>
      </c>
      <c r="U149" s="24" t="s">
        <v>384</v>
      </c>
      <c r="V149" s="74" t="s">
        <v>33</v>
      </c>
      <c r="W149" s="2" t="s">
        <v>112</v>
      </c>
    </row>
    <row r="150" spans="1:202" ht="30">
      <c r="A150" s="63" t="s">
        <v>24</v>
      </c>
      <c r="B150" s="63" t="s">
        <v>25</v>
      </c>
      <c r="C150" s="82">
        <v>46041</v>
      </c>
      <c r="D150" s="65" t="str">
        <f t="shared" ref="D150:D159" si="34">YEAR(C150)&amp;"-S0"&amp;WEEKNUM(C150)</f>
        <v>2026-S04</v>
      </c>
      <c r="E150" s="66" t="str">
        <f t="shared" ref="E150:E159" si="35">YEAR(C150)&amp;"-M0"&amp;MONTH(C150)</f>
        <v>2026-M01</v>
      </c>
      <c r="F150" s="65">
        <f t="shared" ref="F150:F159" si="36">YEAR(C150)</f>
        <v>2026</v>
      </c>
      <c r="G150" s="83" t="s">
        <v>26</v>
      </c>
      <c r="H150" s="83" t="s">
        <v>27</v>
      </c>
      <c r="I150" s="83" t="s">
        <v>45</v>
      </c>
      <c r="J150" s="83" t="s">
        <v>341</v>
      </c>
      <c r="K150" s="83" t="s">
        <v>30</v>
      </c>
      <c r="L150" s="83" t="s">
        <v>30</v>
      </c>
      <c r="M150" s="83">
        <v>5012</v>
      </c>
      <c r="N150" s="68">
        <v>0.35416666666666607</v>
      </c>
      <c r="O150" s="68">
        <v>0.75</v>
      </c>
      <c r="P150" s="69">
        <f t="shared" si="23"/>
        <v>9.5000000000000142</v>
      </c>
      <c r="Q150" s="84">
        <v>1</v>
      </c>
      <c r="R150" s="71" t="str">
        <f t="shared" si="24"/>
        <v>1ABBTEMARA</v>
      </c>
      <c r="S150" s="72">
        <f>IF(P150="","",P150/VLOOKUP(R150,'Matrice Productivité '!I:J,2,FALSE)/100)</f>
        <v>1.6554076374207211E-2</v>
      </c>
      <c r="T150" s="50" t="s">
        <v>342</v>
      </c>
      <c r="U150" s="50" t="s">
        <v>343</v>
      </c>
      <c r="V150" s="88" t="s">
        <v>52</v>
      </c>
      <c r="W150" s="83" t="s">
        <v>395</v>
      </c>
    </row>
    <row r="151" spans="1:202" ht="30">
      <c r="A151" s="63" t="s">
        <v>24</v>
      </c>
      <c r="B151" s="63" t="s">
        <v>25</v>
      </c>
      <c r="C151" s="82">
        <v>46042</v>
      </c>
      <c r="D151" s="65" t="str">
        <f t="shared" si="34"/>
        <v>2026-S04</v>
      </c>
      <c r="E151" s="66" t="str">
        <f t="shared" si="35"/>
        <v>2026-M01</v>
      </c>
      <c r="F151" s="65">
        <f t="shared" si="36"/>
        <v>2026</v>
      </c>
      <c r="G151" s="83" t="s">
        <v>26</v>
      </c>
      <c r="H151" s="83" t="s">
        <v>27</v>
      </c>
      <c r="I151" s="83" t="s">
        <v>45</v>
      </c>
      <c r="J151" s="83" t="s">
        <v>341</v>
      </c>
      <c r="K151" s="83" t="s">
        <v>30</v>
      </c>
      <c r="L151" s="83" t="s">
        <v>30</v>
      </c>
      <c r="M151" s="83">
        <v>5012</v>
      </c>
      <c r="N151" s="68">
        <v>0.35416666666666607</v>
      </c>
      <c r="O151" s="68">
        <v>0.75</v>
      </c>
      <c r="P151" s="69">
        <f t="shared" si="23"/>
        <v>9.5000000000000142</v>
      </c>
      <c r="Q151" s="84">
        <v>1</v>
      </c>
      <c r="R151" s="71" t="str">
        <f t="shared" si="24"/>
        <v>1ABBTEMARA</v>
      </c>
      <c r="S151" s="72">
        <f>IF(P151="","",P151/VLOOKUP(R151,'Matrice Productivité '!I:J,2,FALSE)/100)</f>
        <v>1.6554076374207211E-2</v>
      </c>
      <c r="T151" s="50" t="s">
        <v>342</v>
      </c>
      <c r="U151" s="50" t="s">
        <v>343</v>
      </c>
      <c r="V151" s="88" t="s">
        <v>52</v>
      </c>
      <c r="W151" s="83" t="s">
        <v>395</v>
      </c>
    </row>
    <row r="152" spans="1:202" ht="30">
      <c r="A152" s="63" t="s">
        <v>24</v>
      </c>
      <c r="B152" s="63" t="s">
        <v>25</v>
      </c>
      <c r="C152" s="82">
        <v>46042</v>
      </c>
      <c r="D152" s="65" t="str">
        <f t="shared" si="34"/>
        <v>2026-S04</v>
      </c>
      <c r="E152" s="66" t="str">
        <f t="shared" si="35"/>
        <v>2026-M01</v>
      </c>
      <c r="F152" s="65">
        <f t="shared" si="36"/>
        <v>2026</v>
      </c>
      <c r="G152" s="83" t="s">
        <v>26</v>
      </c>
      <c r="H152" s="83" t="s">
        <v>27</v>
      </c>
      <c r="I152" s="74" t="s">
        <v>306</v>
      </c>
      <c r="J152" s="74" t="s">
        <v>307</v>
      </c>
      <c r="K152" s="83" t="s">
        <v>30</v>
      </c>
      <c r="L152" s="83" t="s">
        <v>30</v>
      </c>
      <c r="M152" s="83" t="s">
        <v>293</v>
      </c>
      <c r="N152" s="68">
        <v>0.55555555555555536</v>
      </c>
      <c r="O152" s="68">
        <v>0.75</v>
      </c>
      <c r="P152" s="69">
        <f t="shared" si="23"/>
        <v>4.6666666666666714</v>
      </c>
      <c r="Q152" s="84">
        <v>1</v>
      </c>
      <c r="R152" s="71" t="str">
        <f t="shared" si="24"/>
        <v>1ABBTEMARA</v>
      </c>
      <c r="S152" s="72">
        <f>IF(P152="","",P152/VLOOKUP(R152,'Matrice Productivité '!I:J,2,FALSE)/100)</f>
        <v>8.1318269908386264E-3</v>
      </c>
      <c r="T152" s="73" t="s">
        <v>294</v>
      </c>
      <c r="U152" s="73" t="s">
        <v>391</v>
      </c>
      <c r="V152" s="63" t="s">
        <v>296</v>
      </c>
      <c r="W152" s="83" t="s">
        <v>26</v>
      </c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36"/>
      <c r="BL152" s="36"/>
      <c r="BM152" s="36"/>
      <c r="BN152" s="36"/>
      <c r="BO152" s="36"/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6"/>
      <c r="CA152" s="36"/>
      <c r="CB152" s="36"/>
      <c r="CC152" s="36"/>
      <c r="CD152" s="36"/>
      <c r="CE152" s="36"/>
      <c r="CF152" s="36"/>
      <c r="CG152" s="36"/>
      <c r="CH152" s="36"/>
      <c r="CI152" s="36"/>
      <c r="CJ152" s="36"/>
      <c r="CK152" s="36"/>
      <c r="CL152" s="36"/>
      <c r="CM152" s="36"/>
      <c r="CN152" s="36"/>
      <c r="CO152" s="36"/>
      <c r="CP152" s="36"/>
      <c r="CQ152" s="36"/>
      <c r="CR152" s="36"/>
      <c r="CS152" s="36"/>
      <c r="CT152" s="36"/>
      <c r="CU152" s="36"/>
      <c r="CV152" s="36"/>
      <c r="CW152" s="36"/>
      <c r="CX152" s="36"/>
      <c r="CY152" s="36"/>
      <c r="CZ152" s="36"/>
      <c r="DA152" s="36"/>
      <c r="DB152" s="36"/>
      <c r="DC152" s="36"/>
      <c r="DD152" s="36"/>
      <c r="DE152" s="36"/>
      <c r="DF152" s="36"/>
      <c r="DG152" s="36"/>
      <c r="DH152" s="36"/>
      <c r="DI152" s="36"/>
      <c r="DJ152" s="36"/>
      <c r="DK152" s="36"/>
      <c r="DL152" s="36"/>
      <c r="DM152" s="36"/>
      <c r="DN152" s="36"/>
      <c r="DO152" s="36"/>
      <c r="DP152" s="36"/>
      <c r="DQ152" s="36"/>
      <c r="DR152" s="36"/>
      <c r="DS152" s="36"/>
      <c r="DT152" s="36"/>
      <c r="DU152" s="36"/>
      <c r="DV152" s="36"/>
      <c r="DW152" s="36"/>
      <c r="DX152" s="36"/>
      <c r="DY152" s="36"/>
      <c r="DZ152" s="36"/>
      <c r="EA152" s="36"/>
      <c r="EB152" s="36"/>
      <c r="EC152" s="36"/>
      <c r="ED152" s="36"/>
      <c r="EE152" s="36"/>
      <c r="EF152" s="36"/>
      <c r="EG152" s="36"/>
      <c r="EH152" s="36"/>
      <c r="EI152" s="36"/>
      <c r="EJ152" s="36"/>
      <c r="EK152" s="36"/>
      <c r="EL152" s="36"/>
      <c r="EM152" s="36"/>
      <c r="EN152" s="36"/>
      <c r="EO152" s="36"/>
      <c r="EP152" s="36"/>
      <c r="EQ152" s="36"/>
      <c r="ER152" s="36"/>
      <c r="ES152" s="36"/>
      <c r="ET152" s="36"/>
      <c r="EU152" s="36"/>
      <c r="EV152" s="36"/>
      <c r="EW152" s="36"/>
      <c r="EX152" s="36"/>
      <c r="EY152" s="36"/>
      <c r="EZ152" s="36"/>
      <c r="FA152" s="36"/>
      <c r="FB152" s="36"/>
      <c r="FC152" s="36"/>
      <c r="FD152" s="36"/>
      <c r="FE152" s="36"/>
      <c r="FF152" s="36"/>
      <c r="FG152" s="36"/>
      <c r="FH152" s="36"/>
      <c r="FI152" s="36"/>
      <c r="FJ152" s="36"/>
      <c r="FK152" s="36"/>
      <c r="FL152" s="36"/>
      <c r="FM152" s="36"/>
      <c r="FN152" s="36"/>
      <c r="FO152" s="36"/>
      <c r="FP152" s="36"/>
      <c r="FQ152" s="36"/>
      <c r="FR152" s="36"/>
      <c r="FS152" s="36"/>
      <c r="FT152" s="36"/>
      <c r="FU152" s="36"/>
      <c r="FV152" s="36"/>
      <c r="FW152" s="36"/>
      <c r="FX152" s="36"/>
      <c r="FY152" s="36"/>
      <c r="FZ152" s="36"/>
      <c r="GA152" s="36"/>
      <c r="GB152" s="36"/>
      <c r="GC152" s="36"/>
      <c r="GD152" s="36"/>
      <c r="GE152" s="36"/>
      <c r="GF152" s="36"/>
      <c r="GG152" s="36"/>
      <c r="GH152" s="36"/>
      <c r="GI152" s="36"/>
      <c r="GJ152" s="36"/>
      <c r="GK152" s="36"/>
      <c r="GL152" s="36"/>
      <c r="GM152" s="36"/>
      <c r="GN152" s="36"/>
      <c r="GO152" s="36"/>
      <c r="GP152" s="36"/>
      <c r="GQ152" s="36"/>
      <c r="GR152" s="36"/>
      <c r="GS152" s="36"/>
      <c r="GT152" s="36"/>
    </row>
    <row r="153" spans="1:202" ht="30">
      <c r="A153" s="63" t="s">
        <v>24</v>
      </c>
      <c r="B153" s="63" t="s">
        <v>25</v>
      </c>
      <c r="C153" s="82">
        <v>46042</v>
      </c>
      <c r="D153" s="65" t="str">
        <f t="shared" si="34"/>
        <v>2026-S04</v>
      </c>
      <c r="E153" s="66" t="str">
        <f t="shared" si="35"/>
        <v>2026-M01</v>
      </c>
      <c r="F153" s="65">
        <f t="shared" si="36"/>
        <v>2026</v>
      </c>
      <c r="G153" s="83" t="s">
        <v>26</v>
      </c>
      <c r="H153" s="83" t="s">
        <v>27</v>
      </c>
      <c r="I153" s="74" t="s">
        <v>308</v>
      </c>
      <c r="J153" s="74" t="s">
        <v>309</v>
      </c>
      <c r="K153" s="83" t="s">
        <v>30</v>
      </c>
      <c r="L153" s="83" t="s">
        <v>30</v>
      </c>
      <c r="M153" s="83" t="s">
        <v>293</v>
      </c>
      <c r="N153" s="68">
        <v>0.55555555555555536</v>
      </c>
      <c r="O153" s="68">
        <v>0.75</v>
      </c>
      <c r="P153" s="69">
        <f t="shared" si="23"/>
        <v>4.6666666666666714</v>
      </c>
      <c r="Q153" s="84">
        <v>1</v>
      </c>
      <c r="R153" s="71" t="str">
        <f t="shared" si="24"/>
        <v>1ABBTEMARA</v>
      </c>
      <c r="S153" s="72">
        <f>IF(P153="","",P153/VLOOKUP(R153,'Matrice Productivité '!I:J,2,FALSE)/100)</f>
        <v>8.1318269908386264E-3</v>
      </c>
      <c r="T153" s="73" t="s">
        <v>294</v>
      </c>
      <c r="U153" s="73" t="s">
        <v>391</v>
      </c>
      <c r="V153" s="63" t="s">
        <v>296</v>
      </c>
      <c r="W153" s="83" t="s">
        <v>26</v>
      </c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  <c r="BK153" s="36"/>
      <c r="BL153" s="36"/>
      <c r="BM153" s="36"/>
      <c r="BN153" s="36"/>
      <c r="BO153" s="36"/>
      <c r="BP153" s="36"/>
      <c r="BQ153" s="36"/>
      <c r="BR153" s="36"/>
      <c r="BS153" s="36"/>
      <c r="BT153" s="36"/>
      <c r="BU153" s="36"/>
      <c r="BV153" s="36"/>
      <c r="BW153" s="36"/>
      <c r="BX153" s="36"/>
      <c r="BY153" s="36"/>
      <c r="BZ153" s="36"/>
      <c r="CA153" s="36"/>
      <c r="CB153" s="36"/>
      <c r="CC153" s="36"/>
      <c r="CD153" s="36"/>
      <c r="CE153" s="36"/>
      <c r="CF153" s="36"/>
      <c r="CG153" s="36"/>
      <c r="CH153" s="36"/>
      <c r="CI153" s="36"/>
      <c r="CJ153" s="36"/>
      <c r="CK153" s="36"/>
      <c r="CL153" s="36"/>
      <c r="CM153" s="36"/>
      <c r="CN153" s="36"/>
      <c r="CO153" s="36"/>
      <c r="CP153" s="36"/>
      <c r="CQ153" s="36"/>
      <c r="CR153" s="36"/>
      <c r="CS153" s="36"/>
      <c r="CT153" s="36"/>
      <c r="CU153" s="36"/>
      <c r="CV153" s="36"/>
      <c r="CW153" s="36"/>
      <c r="CX153" s="36"/>
      <c r="CY153" s="36"/>
      <c r="CZ153" s="36"/>
      <c r="DA153" s="36"/>
      <c r="DB153" s="36"/>
      <c r="DC153" s="36"/>
      <c r="DD153" s="36"/>
      <c r="DE153" s="36"/>
      <c r="DF153" s="36"/>
      <c r="DG153" s="36"/>
      <c r="DH153" s="36"/>
      <c r="DI153" s="36"/>
      <c r="DJ153" s="36"/>
      <c r="DK153" s="36"/>
      <c r="DL153" s="36"/>
      <c r="DM153" s="36"/>
      <c r="DN153" s="36"/>
      <c r="DO153" s="36"/>
      <c r="DP153" s="36"/>
      <c r="DQ153" s="36"/>
      <c r="DR153" s="36"/>
      <c r="DS153" s="36"/>
      <c r="DT153" s="36"/>
      <c r="DU153" s="36"/>
      <c r="DV153" s="36"/>
      <c r="DW153" s="36"/>
      <c r="DX153" s="36"/>
      <c r="DY153" s="36"/>
      <c r="DZ153" s="36"/>
      <c r="EA153" s="36"/>
      <c r="EB153" s="36"/>
      <c r="EC153" s="36"/>
      <c r="ED153" s="36"/>
      <c r="EE153" s="36"/>
      <c r="EF153" s="36"/>
      <c r="EG153" s="36"/>
      <c r="EH153" s="36"/>
      <c r="EI153" s="36"/>
      <c r="EJ153" s="36"/>
      <c r="EK153" s="36"/>
      <c r="EL153" s="36"/>
      <c r="EM153" s="36"/>
      <c r="EN153" s="36"/>
      <c r="EO153" s="36"/>
      <c r="EP153" s="36"/>
      <c r="EQ153" s="36"/>
      <c r="ER153" s="36"/>
      <c r="ES153" s="36"/>
      <c r="ET153" s="36"/>
      <c r="EU153" s="36"/>
      <c r="EV153" s="36"/>
      <c r="EW153" s="36"/>
      <c r="EX153" s="36"/>
      <c r="EY153" s="36"/>
      <c r="EZ153" s="36"/>
      <c r="FA153" s="36"/>
      <c r="FB153" s="36"/>
      <c r="FC153" s="36"/>
      <c r="FD153" s="36"/>
      <c r="FE153" s="36"/>
      <c r="FF153" s="36"/>
      <c r="FG153" s="36"/>
      <c r="FH153" s="36"/>
      <c r="FI153" s="36"/>
      <c r="FJ153" s="36"/>
      <c r="FK153" s="36"/>
      <c r="FL153" s="36"/>
      <c r="FM153" s="36"/>
      <c r="FN153" s="36"/>
      <c r="FO153" s="36"/>
      <c r="FP153" s="36"/>
      <c r="FQ153" s="36"/>
      <c r="FR153" s="36"/>
      <c r="FS153" s="36"/>
      <c r="FT153" s="36"/>
      <c r="FU153" s="36"/>
      <c r="FV153" s="36"/>
      <c r="FW153" s="36"/>
      <c r="FX153" s="36"/>
      <c r="FY153" s="36"/>
      <c r="FZ153" s="36"/>
      <c r="GA153" s="36"/>
      <c r="GB153" s="36"/>
      <c r="GC153" s="36"/>
      <c r="GD153" s="36"/>
      <c r="GE153" s="36"/>
      <c r="GF153" s="36"/>
      <c r="GG153" s="36"/>
      <c r="GH153" s="36"/>
      <c r="GI153" s="36"/>
      <c r="GJ153" s="36"/>
      <c r="GK153" s="36"/>
      <c r="GL153" s="36"/>
      <c r="GM153" s="36"/>
      <c r="GN153" s="36"/>
      <c r="GO153" s="36"/>
      <c r="GP153" s="36"/>
      <c r="GQ153" s="36"/>
      <c r="GR153" s="36"/>
      <c r="GS153" s="36"/>
      <c r="GT153" s="36"/>
    </row>
    <row r="154" spans="1:202" ht="30">
      <c r="A154" s="63" t="s">
        <v>24</v>
      </c>
      <c r="B154" s="63" t="s">
        <v>25</v>
      </c>
      <c r="C154" s="82">
        <v>46042</v>
      </c>
      <c r="D154" s="65" t="str">
        <f t="shared" si="34"/>
        <v>2026-S04</v>
      </c>
      <c r="E154" s="66" t="str">
        <f t="shared" si="35"/>
        <v>2026-M01</v>
      </c>
      <c r="F154" s="65">
        <f t="shared" si="36"/>
        <v>2026</v>
      </c>
      <c r="G154" s="83" t="s">
        <v>26</v>
      </c>
      <c r="H154" s="83" t="s">
        <v>27</v>
      </c>
      <c r="I154" s="74" t="s">
        <v>304</v>
      </c>
      <c r="J154" s="74" t="s">
        <v>305</v>
      </c>
      <c r="K154" s="83" t="s">
        <v>30</v>
      </c>
      <c r="L154" s="83" t="s">
        <v>30</v>
      </c>
      <c r="M154" s="83" t="s">
        <v>293</v>
      </c>
      <c r="N154" s="68">
        <v>0.55555555555555536</v>
      </c>
      <c r="O154" s="68">
        <v>0.75</v>
      </c>
      <c r="P154" s="69">
        <f t="shared" si="23"/>
        <v>4.6666666666666714</v>
      </c>
      <c r="Q154" s="84">
        <v>1</v>
      </c>
      <c r="R154" s="71" t="str">
        <f t="shared" si="24"/>
        <v>1ABBTEMARA</v>
      </c>
      <c r="S154" s="72">
        <f>IF(P154="","",P154/VLOOKUP(R154,'Matrice Productivité '!I:J,2,FALSE)/100)</f>
        <v>8.1318269908386264E-3</v>
      </c>
      <c r="T154" s="73" t="s">
        <v>294</v>
      </c>
      <c r="U154" s="73" t="s">
        <v>391</v>
      </c>
      <c r="V154" s="63" t="s">
        <v>296</v>
      </c>
      <c r="W154" s="83" t="s">
        <v>26</v>
      </c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  <c r="BK154" s="36"/>
      <c r="BL154" s="36"/>
      <c r="BM154" s="36"/>
      <c r="BN154" s="36"/>
      <c r="BO154" s="36"/>
      <c r="BP154" s="36"/>
      <c r="BQ154" s="36"/>
      <c r="BR154" s="36"/>
      <c r="BS154" s="36"/>
      <c r="BT154" s="36"/>
      <c r="BU154" s="36"/>
      <c r="BV154" s="36"/>
      <c r="BW154" s="36"/>
      <c r="BX154" s="36"/>
      <c r="BY154" s="36"/>
      <c r="BZ154" s="36"/>
      <c r="CA154" s="36"/>
      <c r="CB154" s="36"/>
      <c r="CC154" s="36"/>
      <c r="CD154" s="36"/>
      <c r="CE154" s="36"/>
      <c r="CF154" s="36"/>
      <c r="CG154" s="36"/>
      <c r="CH154" s="36"/>
      <c r="CI154" s="36"/>
      <c r="CJ154" s="36"/>
      <c r="CK154" s="36"/>
      <c r="CL154" s="36"/>
      <c r="CM154" s="36"/>
      <c r="CN154" s="36"/>
      <c r="CO154" s="36"/>
      <c r="CP154" s="36"/>
      <c r="CQ154" s="36"/>
      <c r="CR154" s="36"/>
      <c r="CS154" s="36"/>
      <c r="CT154" s="36"/>
      <c r="CU154" s="36"/>
      <c r="CV154" s="36"/>
      <c r="CW154" s="36"/>
      <c r="CX154" s="36"/>
      <c r="CY154" s="36"/>
      <c r="CZ154" s="36"/>
      <c r="DA154" s="36"/>
      <c r="DB154" s="36"/>
      <c r="DC154" s="36"/>
      <c r="DD154" s="36"/>
      <c r="DE154" s="36"/>
      <c r="DF154" s="36"/>
      <c r="DG154" s="36"/>
      <c r="DH154" s="36"/>
      <c r="DI154" s="36"/>
      <c r="DJ154" s="36"/>
      <c r="DK154" s="36"/>
      <c r="DL154" s="36"/>
      <c r="DM154" s="36"/>
      <c r="DN154" s="36"/>
      <c r="DO154" s="36"/>
      <c r="DP154" s="36"/>
      <c r="DQ154" s="36"/>
      <c r="DR154" s="36"/>
      <c r="DS154" s="36"/>
      <c r="DT154" s="36"/>
      <c r="DU154" s="36"/>
      <c r="DV154" s="36"/>
      <c r="DW154" s="36"/>
      <c r="DX154" s="36"/>
      <c r="DY154" s="36"/>
      <c r="DZ154" s="36"/>
      <c r="EA154" s="36"/>
      <c r="EB154" s="36"/>
      <c r="EC154" s="36"/>
      <c r="ED154" s="36"/>
      <c r="EE154" s="36"/>
      <c r="EF154" s="36"/>
      <c r="EG154" s="36"/>
      <c r="EH154" s="36"/>
      <c r="EI154" s="36"/>
      <c r="EJ154" s="36"/>
      <c r="EK154" s="36"/>
      <c r="EL154" s="36"/>
      <c r="EM154" s="36"/>
      <c r="EN154" s="36"/>
      <c r="EO154" s="36"/>
      <c r="EP154" s="36"/>
      <c r="EQ154" s="36"/>
      <c r="ER154" s="36"/>
      <c r="ES154" s="36"/>
      <c r="ET154" s="36"/>
      <c r="EU154" s="36"/>
      <c r="EV154" s="36"/>
      <c r="EW154" s="36"/>
      <c r="EX154" s="36"/>
      <c r="EY154" s="36"/>
      <c r="EZ154" s="36"/>
      <c r="FA154" s="36"/>
      <c r="FB154" s="36"/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  <c r="GK154" s="36"/>
      <c r="GL154" s="36"/>
      <c r="GM154" s="36"/>
      <c r="GN154" s="36"/>
      <c r="GO154" s="36"/>
      <c r="GP154" s="36"/>
      <c r="GQ154" s="36"/>
      <c r="GR154" s="36"/>
      <c r="GS154" s="36"/>
      <c r="GT154" s="36"/>
    </row>
    <row r="155" spans="1:202" ht="30">
      <c r="A155" s="63" t="s">
        <v>24</v>
      </c>
      <c r="B155" s="63" t="s">
        <v>25</v>
      </c>
      <c r="C155" s="82">
        <v>46042</v>
      </c>
      <c r="D155" s="65" t="str">
        <f t="shared" si="34"/>
        <v>2026-S04</v>
      </c>
      <c r="E155" s="66" t="str">
        <f t="shared" si="35"/>
        <v>2026-M01</v>
      </c>
      <c r="F155" s="65">
        <f t="shared" si="36"/>
        <v>2026</v>
      </c>
      <c r="G155" s="83" t="s">
        <v>26</v>
      </c>
      <c r="H155" s="83" t="s">
        <v>27</v>
      </c>
      <c r="I155" s="83" t="s">
        <v>45</v>
      </c>
      <c r="J155" s="83" t="s">
        <v>297</v>
      </c>
      <c r="K155" s="83" t="s">
        <v>30</v>
      </c>
      <c r="L155" s="83" t="s">
        <v>30</v>
      </c>
      <c r="M155" s="83" t="s">
        <v>293</v>
      </c>
      <c r="N155" s="68">
        <v>0.55555555555555536</v>
      </c>
      <c r="O155" s="68">
        <v>0.75</v>
      </c>
      <c r="P155" s="69">
        <f t="shared" si="23"/>
        <v>4.6666666666666714</v>
      </c>
      <c r="Q155" s="84">
        <v>1</v>
      </c>
      <c r="R155" s="71" t="str">
        <f t="shared" si="24"/>
        <v>1ABBTEMARA</v>
      </c>
      <c r="S155" s="72">
        <f>IF(P155="","",P155/VLOOKUP(R155,'Matrice Productivité '!I:J,2,FALSE)/100)</f>
        <v>8.1318269908386264E-3</v>
      </c>
      <c r="T155" s="73" t="s">
        <v>294</v>
      </c>
      <c r="U155" s="73" t="s">
        <v>391</v>
      </c>
      <c r="V155" s="63" t="s">
        <v>296</v>
      </c>
      <c r="W155" s="83" t="s">
        <v>26</v>
      </c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6"/>
      <c r="BR155" s="36"/>
      <c r="BS155" s="36"/>
      <c r="BT155" s="36"/>
      <c r="BU155" s="36"/>
      <c r="BV155" s="36"/>
      <c r="BW155" s="36"/>
      <c r="BX155" s="36"/>
      <c r="BY155" s="36"/>
      <c r="BZ155" s="36"/>
      <c r="CA155" s="36"/>
      <c r="CB155" s="36"/>
      <c r="CC155" s="36"/>
      <c r="CD155" s="36"/>
      <c r="CE155" s="36"/>
      <c r="CF155" s="36"/>
      <c r="CG155" s="36"/>
      <c r="CH155" s="36"/>
      <c r="CI155" s="36"/>
      <c r="CJ155" s="36"/>
      <c r="CK155" s="36"/>
      <c r="CL155" s="36"/>
      <c r="CM155" s="36"/>
      <c r="CN155" s="36"/>
      <c r="CO155" s="36"/>
      <c r="CP155" s="36"/>
      <c r="CQ155" s="36"/>
      <c r="CR155" s="36"/>
      <c r="CS155" s="36"/>
      <c r="CT155" s="36"/>
      <c r="CU155" s="36"/>
      <c r="CV155" s="36"/>
      <c r="CW155" s="36"/>
      <c r="CX155" s="36"/>
      <c r="CY155" s="36"/>
      <c r="CZ155" s="36"/>
      <c r="DA155" s="36"/>
      <c r="DB155" s="36"/>
      <c r="DC155" s="36"/>
      <c r="DD155" s="36"/>
      <c r="DE155" s="36"/>
      <c r="DF155" s="36"/>
      <c r="DG155" s="36"/>
      <c r="DH155" s="36"/>
      <c r="DI155" s="36"/>
      <c r="DJ155" s="36"/>
      <c r="DK155" s="36"/>
      <c r="DL155" s="36"/>
      <c r="DM155" s="36"/>
      <c r="DN155" s="36"/>
      <c r="DO155" s="36"/>
      <c r="DP155" s="36"/>
      <c r="DQ155" s="36"/>
      <c r="DR155" s="36"/>
      <c r="DS155" s="36"/>
      <c r="DT155" s="36"/>
      <c r="DU155" s="36"/>
      <c r="DV155" s="36"/>
      <c r="DW155" s="36"/>
      <c r="DX155" s="36"/>
      <c r="DY155" s="36"/>
      <c r="DZ155" s="36"/>
      <c r="EA155" s="36"/>
      <c r="EB155" s="36"/>
      <c r="EC155" s="36"/>
      <c r="ED155" s="36"/>
      <c r="EE155" s="36"/>
      <c r="EF155" s="36"/>
      <c r="EG155" s="36"/>
      <c r="EH155" s="36"/>
      <c r="EI155" s="36"/>
      <c r="EJ155" s="36"/>
      <c r="EK155" s="36"/>
      <c r="EL155" s="36"/>
      <c r="EM155" s="36"/>
      <c r="EN155" s="36"/>
      <c r="EO155" s="36"/>
      <c r="EP155" s="36"/>
      <c r="EQ155" s="36"/>
      <c r="ER155" s="36"/>
      <c r="ES155" s="36"/>
      <c r="ET155" s="36"/>
      <c r="EU155" s="36"/>
      <c r="EV155" s="36"/>
      <c r="EW155" s="36"/>
      <c r="EX155" s="36"/>
      <c r="EY155" s="36"/>
      <c r="EZ155" s="36"/>
      <c r="FA155" s="36"/>
      <c r="FB155" s="36"/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  <c r="GK155" s="36"/>
      <c r="GL155" s="36"/>
      <c r="GM155" s="36"/>
      <c r="GN155" s="36"/>
      <c r="GO155" s="36"/>
      <c r="GP155" s="36"/>
      <c r="GQ155" s="36"/>
      <c r="GR155" s="36"/>
      <c r="GS155" s="36"/>
      <c r="GT155" s="36"/>
    </row>
    <row r="156" spans="1:202" ht="30">
      <c r="A156" s="63" t="s">
        <v>24</v>
      </c>
      <c r="B156" s="63" t="s">
        <v>25</v>
      </c>
      <c r="C156" s="82">
        <v>46043</v>
      </c>
      <c r="D156" s="65" t="str">
        <f t="shared" si="34"/>
        <v>2026-S04</v>
      </c>
      <c r="E156" s="66" t="str">
        <f t="shared" si="35"/>
        <v>2026-M01</v>
      </c>
      <c r="F156" s="65">
        <f t="shared" si="36"/>
        <v>2026</v>
      </c>
      <c r="G156" s="83" t="s">
        <v>26</v>
      </c>
      <c r="H156" s="83" t="s">
        <v>27</v>
      </c>
      <c r="I156" s="74" t="s">
        <v>306</v>
      </c>
      <c r="J156" s="74" t="s">
        <v>307</v>
      </c>
      <c r="K156" s="83" t="s">
        <v>30</v>
      </c>
      <c r="L156" s="83" t="s">
        <v>30</v>
      </c>
      <c r="M156" s="83" t="s">
        <v>293</v>
      </c>
      <c r="N156" s="68">
        <v>0.35416666666666607</v>
      </c>
      <c r="O156" s="68">
        <v>0.55555555555555536</v>
      </c>
      <c r="P156" s="69">
        <f t="shared" si="23"/>
        <v>4.8333333333333428</v>
      </c>
      <c r="Q156" s="84">
        <v>1</v>
      </c>
      <c r="R156" s="71" t="str">
        <f t="shared" si="24"/>
        <v>1ABBTEMARA</v>
      </c>
      <c r="S156" s="72">
        <f>IF(P156="","",P156/VLOOKUP(R156,'Matrice Productivité '!I:J,2,FALSE)/100)</f>
        <v>8.4222493833685866E-3</v>
      </c>
      <c r="T156" s="73" t="s">
        <v>294</v>
      </c>
      <c r="U156" s="73" t="s">
        <v>392</v>
      </c>
      <c r="V156" s="63" t="s">
        <v>296</v>
      </c>
      <c r="W156" s="83" t="s">
        <v>26</v>
      </c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  <c r="BP156" s="36"/>
      <c r="BQ156" s="36"/>
      <c r="BR156" s="36"/>
      <c r="BS156" s="36"/>
      <c r="BT156" s="36"/>
      <c r="BU156" s="36"/>
      <c r="BV156" s="36"/>
      <c r="BW156" s="36"/>
      <c r="BX156" s="36"/>
      <c r="BY156" s="36"/>
      <c r="BZ156" s="36"/>
      <c r="CA156" s="36"/>
      <c r="CB156" s="36"/>
      <c r="CC156" s="36"/>
      <c r="CD156" s="36"/>
      <c r="CE156" s="36"/>
      <c r="CF156" s="36"/>
      <c r="CG156" s="36"/>
      <c r="CH156" s="36"/>
      <c r="CI156" s="36"/>
      <c r="CJ156" s="36"/>
      <c r="CK156" s="36"/>
      <c r="CL156" s="36"/>
      <c r="CM156" s="36"/>
      <c r="CN156" s="36"/>
      <c r="CO156" s="36"/>
      <c r="CP156" s="36"/>
      <c r="CQ156" s="36"/>
      <c r="CR156" s="36"/>
      <c r="CS156" s="36"/>
      <c r="CT156" s="36"/>
      <c r="CU156" s="36"/>
      <c r="CV156" s="36"/>
      <c r="CW156" s="36"/>
      <c r="CX156" s="36"/>
      <c r="CY156" s="36"/>
      <c r="CZ156" s="36"/>
      <c r="DA156" s="36"/>
      <c r="DB156" s="36"/>
      <c r="DC156" s="36"/>
      <c r="DD156" s="36"/>
      <c r="DE156" s="36"/>
      <c r="DF156" s="36"/>
      <c r="DG156" s="36"/>
      <c r="DH156" s="36"/>
      <c r="DI156" s="36"/>
      <c r="DJ156" s="36"/>
      <c r="DK156" s="36"/>
      <c r="DL156" s="36"/>
      <c r="DM156" s="36"/>
      <c r="DN156" s="36"/>
      <c r="DO156" s="36"/>
      <c r="DP156" s="36"/>
      <c r="DQ156" s="36"/>
      <c r="DR156" s="36"/>
      <c r="DS156" s="36"/>
      <c r="DT156" s="36"/>
      <c r="DU156" s="36"/>
      <c r="DV156" s="36"/>
      <c r="DW156" s="36"/>
      <c r="DX156" s="36"/>
      <c r="DY156" s="36"/>
      <c r="DZ156" s="36"/>
      <c r="EA156" s="36"/>
      <c r="EB156" s="36"/>
      <c r="EC156" s="36"/>
      <c r="ED156" s="36"/>
      <c r="EE156" s="36"/>
      <c r="EF156" s="36"/>
      <c r="EG156" s="36"/>
      <c r="EH156" s="36"/>
      <c r="EI156" s="36"/>
      <c r="EJ156" s="36"/>
      <c r="EK156" s="36"/>
      <c r="EL156" s="36"/>
      <c r="EM156" s="36"/>
      <c r="EN156" s="36"/>
      <c r="EO156" s="36"/>
      <c r="EP156" s="36"/>
      <c r="EQ156" s="36"/>
      <c r="ER156" s="36"/>
      <c r="ES156" s="36"/>
      <c r="ET156" s="36"/>
      <c r="EU156" s="36"/>
      <c r="EV156" s="36"/>
      <c r="EW156" s="36"/>
      <c r="EX156" s="36"/>
      <c r="EY156" s="36"/>
      <c r="EZ156" s="36"/>
      <c r="FA156" s="36"/>
      <c r="FB156" s="36"/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  <c r="GK156" s="36"/>
      <c r="GL156" s="36"/>
      <c r="GM156" s="36"/>
      <c r="GN156" s="36"/>
      <c r="GO156" s="36"/>
      <c r="GP156" s="36"/>
      <c r="GQ156" s="36"/>
      <c r="GR156" s="36"/>
      <c r="GS156" s="36"/>
      <c r="GT156" s="36"/>
    </row>
    <row r="157" spans="1:202" ht="30">
      <c r="A157" s="63" t="s">
        <v>24</v>
      </c>
      <c r="B157" s="63" t="s">
        <v>25</v>
      </c>
      <c r="C157" s="82">
        <v>46043</v>
      </c>
      <c r="D157" s="65" t="str">
        <f t="shared" si="34"/>
        <v>2026-S04</v>
      </c>
      <c r="E157" s="66" t="str">
        <f t="shared" si="35"/>
        <v>2026-M01</v>
      </c>
      <c r="F157" s="65">
        <f t="shared" si="36"/>
        <v>2026</v>
      </c>
      <c r="G157" s="83" t="s">
        <v>26</v>
      </c>
      <c r="H157" s="83" t="s">
        <v>27</v>
      </c>
      <c r="I157" s="74" t="s">
        <v>308</v>
      </c>
      <c r="J157" s="74" t="s">
        <v>309</v>
      </c>
      <c r="K157" s="83" t="s">
        <v>30</v>
      </c>
      <c r="L157" s="83" t="s">
        <v>30</v>
      </c>
      <c r="M157" s="83" t="s">
        <v>293</v>
      </c>
      <c r="N157" s="68">
        <v>0.35416666666666607</v>
      </c>
      <c r="O157" s="68">
        <v>0.55555555555555536</v>
      </c>
      <c r="P157" s="69">
        <f t="shared" si="23"/>
        <v>4.8333333333333428</v>
      </c>
      <c r="Q157" s="84">
        <v>1</v>
      </c>
      <c r="R157" s="71" t="str">
        <f t="shared" si="24"/>
        <v>1ABBTEMARA</v>
      </c>
      <c r="S157" s="72">
        <f>IF(P157="","",P157/VLOOKUP(R157,'Matrice Productivité '!I:J,2,FALSE)/100)</f>
        <v>8.4222493833685866E-3</v>
      </c>
      <c r="T157" s="73" t="s">
        <v>294</v>
      </c>
      <c r="U157" s="73" t="s">
        <v>392</v>
      </c>
      <c r="V157" s="63" t="s">
        <v>296</v>
      </c>
      <c r="W157" s="83" t="s">
        <v>26</v>
      </c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6"/>
      <c r="CD157" s="36"/>
      <c r="CE157" s="36"/>
      <c r="CF157" s="36"/>
      <c r="CG157" s="36"/>
      <c r="CH157" s="36"/>
      <c r="CI157" s="36"/>
      <c r="CJ157" s="36"/>
      <c r="CK157" s="36"/>
      <c r="CL157" s="36"/>
      <c r="CM157" s="36"/>
      <c r="CN157" s="36"/>
      <c r="CO157" s="36"/>
      <c r="CP157" s="36"/>
      <c r="CQ157" s="36"/>
      <c r="CR157" s="36"/>
      <c r="CS157" s="36"/>
      <c r="CT157" s="36"/>
      <c r="CU157" s="36"/>
      <c r="CV157" s="36"/>
      <c r="CW157" s="36"/>
      <c r="CX157" s="36"/>
      <c r="CY157" s="36"/>
      <c r="CZ157" s="36"/>
      <c r="DA157" s="36"/>
      <c r="DB157" s="36"/>
      <c r="DC157" s="36"/>
      <c r="DD157" s="36"/>
      <c r="DE157" s="36"/>
      <c r="DF157" s="36"/>
      <c r="DG157" s="36"/>
      <c r="DH157" s="36"/>
      <c r="DI157" s="36"/>
      <c r="DJ157" s="36"/>
      <c r="DK157" s="36"/>
      <c r="DL157" s="36"/>
      <c r="DM157" s="36"/>
      <c r="DN157" s="36"/>
      <c r="DO157" s="36"/>
      <c r="DP157" s="36"/>
      <c r="DQ157" s="36"/>
      <c r="DR157" s="36"/>
      <c r="DS157" s="36"/>
      <c r="DT157" s="36"/>
      <c r="DU157" s="36"/>
      <c r="DV157" s="36"/>
      <c r="DW157" s="36"/>
      <c r="DX157" s="36"/>
      <c r="DY157" s="36"/>
      <c r="DZ157" s="36"/>
      <c r="EA157" s="36"/>
      <c r="EB157" s="36"/>
      <c r="EC157" s="36"/>
      <c r="ED157" s="36"/>
      <c r="EE157" s="36"/>
      <c r="EF157" s="36"/>
      <c r="EG157" s="36"/>
      <c r="EH157" s="36"/>
      <c r="EI157" s="36"/>
      <c r="EJ157" s="36"/>
      <c r="EK157" s="36"/>
      <c r="EL157" s="36"/>
      <c r="EM157" s="36"/>
      <c r="EN157" s="36"/>
      <c r="EO157" s="36"/>
      <c r="EP157" s="36"/>
      <c r="EQ157" s="36"/>
      <c r="ER157" s="36"/>
      <c r="ES157" s="36"/>
      <c r="ET157" s="36"/>
      <c r="EU157" s="36"/>
      <c r="EV157" s="36"/>
      <c r="EW157" s="36"/>
      <c r="EX157" s="36"/>
      <c r="EY157" s="36"/>
      <c r="EZ157" s="36"/>
      <c r="FA157" s="36"/>
      <c r="FB157" s="36"/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  <c r="GK157" s="36"/>
      <c r="GL157" s="36"/>
      <c r="GM157" s="36"/>
      <c r="GN157" s="36"/>
      <c r="GO157" s="36"/>
      <c r="GP157" s="36"/>
      <c r="GQ157" s="36"/>
      <c r="GR157" s="36"/>
      <c r="GS157" s="36"/>
      <c r="GT157" s="36"/>
    </row>
    <row r="158" spans="1:202" ht="30">
      <c r="A158" s="63" t="s">
        <v>24</v>
      </c>
      <c r="B158" s="63" t="s">
        <v>25</v>
      </c>
      <c r="C158" s="82">
        <v>46043</v>
      </c>
      <c r="D158" s="65" t="str">
        <f t="shared" si="34"/>
        <v>2026-S04</v>
      </c>
      <c r="E158" s="66" t="str">
        <f t="shared" si="35"/>
        <v>2026-M01</v>
      </c>
      <c r="F158" s="65">
        <f t="shared" si="36"/>
        <v>2026</v>
      </c>
      <c r="G158" s="83" t="s">
        <v>26</v>
      </c>
      <c r="H158" s="83" t="s">
        <v>27</v>
      </c>
      <c r="I158" s="74" t="s">
        <v>304</v>
      </c>
      <c r="J158" s="74" t="s">
        <v>305</v>
      </c>
      <c r="K158" s="83" t="s">
        <v>30</v>
      </c>
      <c r="L158" s="83" t="s">
        <v>30</v>
      </c>
      <c r="M158" s="83" t="s">
        <v>293</v>
      </c>
      <c r="N158" s="68">
        <v>0.35416666666666607</v>
      </c>
      <c r="O158" s="68">
        <v>0.55555555555555536</v>
      </c>
      <c r="P158" s="69">
        <f t="shared" si="23"/>
        <v>4.8333333333333428</v>
      </c>
      <c r="Q158" s="84">
        <v>1</v>
      </c>
      <c r="R158" s="71" t="str">
        <f t="shared" si="24"/>
        <v>1ABBTEMARA</v>
      </c>
      <c r="S158" s="72">
        <f>IF(P158="","",P158/VLOOKUP(R158,'Matrice Productivité '!I:J,2,FALSE)/100)</f>
        <v>8.4222493833685866E-3</v>
      </c>
      <c r="T158" s="73" t="s">
        <v>294</v>
      </c>
      <c r="U158" s="73" t="s">
        <v>392</v>
      </c>
      <c r="V158" s="63" t="s">
        <v>296</v>
      </c>
      <c r="W158" s="83" t="s">
        <v>26</v>
      </c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  <c r="BK158" s="36"/>
      <c r="BL158" s="36"/>
      <c r="BM158" s="36"/>
      <c r="BN158" s="36"/>
      <c r="BO158" s="36"/>
      <c r="BP158" s="36"/>
      <c r="BQ158" s="36"/>
      <c r="BR158" s="36"/>
      <c r="BS158" s="36"/>
      <c r="BT158" s="36"/>
      <c r="BU158" s="36"/>
      <c r="BV158" s="36"/>
      <c r="BW158" s="36"/>
      <c r="BX158" s="36"/>
      <c r="BY158" s="36"/>
      <c r="BZ158" s="36"/>
      <c r="CA158" s="36"/>
      <c r="CB158" s="36"/>
      <c r="CC158" s="36"/>
      <c r="CD158" s="36"/>
      <c r="CE158" s="36"/>
      <c r="CF158" s="36"/>
      <c r="CG158" s="36"/>
      <c r="CH158" s="36"/>
      <c r="CI158" s="36"/>
      <c r="CJ158" s="36"/>
      <c r="CK158" s="36"/>
      <c r="CL158" s="36"/>
      <c r="CM158" s="36"/>
      <c r="CN158" s="36"/>
      <c r="CO158" s="36"/>
      <c r="CP158" s="36"/>
      <c r="CQ158" s="36"/>
      <c r="CR158" s="36"/>
      <c r="CS158" s="36"/>
      <c r="CT158" s="36"/>
      <c r="CU158" s="36"/>
      <c r="CV158" s="36"/>
      <c r="CW158" s="36"/>
      <c r="CX158" s="36"/>
      <c r="CY158" s="36"/>
      <c r="CZ158" s="36"/>
      <c r="DA158" s="36"/>
      <c r="DB158" s="36"/>
      <c r="DC158" s="36"/>
      <c r="DD158" s="36"/>
      <c r="DE158" s="36"/>
      <c r="DF158" s="36"/>
      <c r="DG158" s="36"/>
      <c r="DH158" s="36"/>
      <c r="DI158" s="36"/>
      <c r="DJ158" s="36"/>
      <c r="DK158" s="36"/>
      <c r="DL158" s="36"/>
      <c r="DM158" s="36"/>
      <c r="DN158" s="36"/>
      <c r="DO158" s="36"/>
      <c r="DP158" s="36"/>
      <c r="DQ158" s="36"/>
      <c r="DR158" s="36"/>
      <c r="DS158" s="36"/>
      <c r="DT158" s="36"/>
      <c r="DU158" s="36"/>
      <c r="DV158" s="36"/>
      <c r="DW158" s="36"/>
      <c r="DX158" s="36"/>
      <c r="DY158" s="36"/>
      <c r="DZ158" s="36"/>
      <c r="EA158" s="36"/>
      <c r="EB158" s="36"/>
      <c r="EC158" s="36"/>
      <c r="ED158" s="36"/>
      <c r="EE158" s="36"/>
      <c r="EF158" s="36"/>
      <c r="EG158" s="36"/>
      <c r="EH158" s="36"/>
      <c r="EI158" s="36"/>
      <c r="EJ158" s="36"/>
      <c r="EK158" s="36"/>
      <c r="EL158" s="36"/>
      <c r="EM158" s="36"/>
      <c r="EN158" s="36"/>
      <c r="EO158" s="36"/>
      <c r="EP158" s="36"/>
      <c r="EQ158" s="36"/>
      <c r="ER158" s="36"/>
      <c r="ES158" s="36"/>
      <c r="ET158" s="36"/>
      <c r="EU158" s="36"/>
      <c r="EV158" s="36"/>
      <c r="EW158" s="36"/>
      <c r="EX158" s="36"/>
      <c r="EY158" s="36"/>
      <c r="EZ158" s="36"/>
      <c r="FA158" s="36"/>
      <c r="FB158" s="36"/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  <c r="GK158" s="36"/>
      <c r="GL158" s="36"/>
      <c r="GM158" s="36"/>
      <c r="GN158" s="36"/>
      <c r="GO158" s="36"/>
      <c r="GP158" s="36"/>
      <c r="GQ158" s="36"/>
      <c r="GR158" s="36"/>
      <c r="GS158" s="36"/>
      <c r="GT158" s="36"/>
    </row>
    <row r="159" spans="1:202" ht="30">
      <c r="A159" s="63" t="s">
        <v>69</v>
      </c>
      <c r="B159" s="2" t="s">
        <v>105</v>
      </c>
      <c r="C159" s="39">
        <v>46043</v>
      </c>
      <c r="D159" s="65" t="str">
        <f t="shared" si="34"/>
        <v>2026-S04</v>
      </c>
      <c r="E159" s="66" t="str">
        <f t="shared" si="35"/>
        <v>2026-M01</v>
      </c>
      <c r="F159" s="65">
        <f t="shared" si="36"/>
        <v>2026</v>
      </c>
      <c r="G159" s="2" t="s">
        <v>170</v>
      </c>
      <c r="H159" s="2" t="s">
        <v>27</v>
      </c>
      <c r="I159" s="2" t="s">
        <v>108</v>
      </c>
      <c r="J159" s="2" t="s">
        <v>393</v>
      </c>
      <c r="K159" s="2" t="s">
        <v>108</v>
      </c>
      <c r="L159" s="2" t="s">
        <v>108</v>
      </c>
      <c r="M159" s="2" t="s">
        <v>173</v>
      </c>
      <c r="N159" s="68">
        <v>0.3125</v>
      </c>
      <c r="O159" s="68">
        <v>0.4375</v>
      </c>
      <c r="P159" s="69">
        <f t="shared" si="23"/>
        <v>3</v>
      </c>
      <c r="Q159" s="70">
        <v>2</v>
      </c>
      <c r="R159" s="71" t="str">
        <f t="shared" si="24"/>
        <v>2EMSBERRECHID</v>
      </c>
      <c r="S159" s="72">
        <f>IF(P159="","",P159/VLOOKUP(R159,'Matrice Productivité '!I:J,2,FALSE)/100)</f>
        <v>5.5785123966942162E-4</v>
      </c>
      <c r="T159" s="73" t="s">
        <v>294</v>
      </c>
      <c r="U159" s="24" t="s">
        <v>394</v>
      </c>
      <c r="V159" s="63" t="s">
        <v>296</v>
      </c>
      <c r="W159" s="2" t="s">
        <v>395</v>
      </c>
    </row>
    <row r="160" spans="1:202" ht="30">
      <c r="A160" s="63" t="s">
        <v>69</v>
      </c>
      <c r="B160" s="2" t="s">
        <v>105</v>
      </c>
      <c r="C160" s="39">
        <v>46043</v>
      </c>
      <c r="D160" s="65" t="str">
        <f t="shared" si="32"/>
        <v>2026-S04</v>
      </c>
      <c r="E160" s="66" t="str">
        <f t="shared" si="33"/>
        <v>2026-M01</v>
      </c>
      <c r="F160" s="65">
        <f t="shared" si="20"/>
        <v>2026</v>
      </c>
      <c r="G160" s="2" t="s">
        <v>176</v>
      </c>
      <c r="H160" s="2" t="s">
        <v>72</v>
      </c>
      <c r="I160" s="2" t="s">
        <v>396</v>
      </c>
      <c r="J160" s="2" t="s">
        <v>178</v>
      </c>
      <c r="K160" s="2" t="s">
        <v>75</v>
      </c>
      <c r="L160" s="2" t="s">
        <v>75</v>
      </c>
      <c r="M160" s="2" t="s">
        <v>131</v>
      </c>
      <c r="N160" s="68">
        <v>0.34722222222222221</v>
      </c>
      <c r="O160" s="68">
        <v>0.58333333333333337</v>
      </c>
      <c r="P160" s="69">
        <f t="shared" si="23"/>
        <v>5.6666666666666679</v>
      </c>
      <c r="Q160" s="70">
        <v>3</v>
      </c>
      <c r="R160" s="71" t="str">
        <f t="shared" si="24"/>
        <v>3EDMIBERRECHID</v>
      </c>
      <c r="S160" s="72">
        <f>IF(P160="","",P160/VLOOKUP(R160,'Matrice Productivité '!I:J,2,FALSE)/100)</f>
        <v>4.390495867768596E-3</v>
      </c>
      <c r="T160" s="75" t="s">
        <v>88</v>
      </c>
      <c r="U160" s="24" t="s">
        <v>397</v>
      </c>
      <c r="V160" s="74" t="s">
        <v>90</v>
      </c>
      <c r="W160" s="2" t="s">
        <v>91</v>
      </c>
    </row>
    <row r="161" spans="1:24" ht="51" customHeight="1">
      <c r="A161" s="63" t="s">
        <v>69</v>
      </c>
      <c r="B161" s="2" t="s">
        <v>105</v>
      </c>
      <c r="C161" s="39">
        <v>46044</v>
      </c>
      <c r="D161" s="65" t="str">
        <f t="shared" si="32"/>
        <v>2026-S04</v>
      </c>
      <c r="E161" s="66" t="str">
        <f t="shared" si="33"/>
        <v>2026-M01</v>
      </c>
      <c r="F161" s="65">
        <f t="shared" si="20"/>
        <v>2026</v>
      </c>
      <c r="G161" s="2" t="s">
        <v>127</v>
      </c>
      <c r="H161" s="2" t="s">
        <v>99</v>
      </c>
      <c r="I161" s="2" t="s">
        <v>129</v>
      </c>
      <c r="J161" s="2" t="s">
        <v>130</v>
      </c>
      <c r="K161" s="2" t="s">
        <v>75</v>
      </c>
      <c r="L161" s="2" t="s">
        <v>75</v>
      </c>
      <c r="M161" s="2" t="s">
        <v>131</v>
      </c>
      <c r="N161" s="68">
        <v>0.58333333333333337</v>
      </c>
      <c r="O161" s="68">
        <v>0.78125</v>
      </c>
      <c r="P161" s="69">
        <f>(O161-N161)*24</f>
        <v>4.7499999999999991</v>
      </c>
      <c r="Q161" s="2">
        <v>3</v>
      </c>
      <c r="R161" s="71" t="str">
        <f t="shared" si="24"/>
        <v>3EDMIBERRECHID</v>
      </c>
      <c r="S161" s="72">
        <f>IF(P161="","",P161/VLOOKUP(R161,'Matrice Productivité '!I:J,2,FALSE)/100)</f>
        <v>3.6802685950413209E-3</v>
      </c>
      <c r="T161" s="91" t="s">
        <v>132</v>
      </c>
      <c r="U161" s="92" t="s">
        <v>398</v>
      </c>
      <c r="V161" s="63" t="s">
        <v>90</v>
      </c>
      <c r="W161" s="2" t="s">
        <v>147</v>
      </c>
    </row>
    <row r="162" spans="1:24" ht="51" customHeight="1">
      <c r="A162" s="63" t="s">
        <v>69</v>
      </c>
      <c r="B162" s="2" t="s">
        <v>70</v>
      </c>
      <c r="C162" s="39">
        <v>46044</v>
      </c>
      <c r="D162" s="65" t="str">
        <f>YEAR(C162)&amp;"-S0"&amp;WEEKNUM(C162)</f>
        <v>2026-S04</v>
      </c>
      <c r="E162" s="66" t="str">
        <f>YEAR(C162)&amp;"-M0"&amp;MONTH(C162)</f>
        <v>2026-M01</v>
      </c>
      <c r="F162" s="65">
        <f>YEAR(C162)</f>
        <v>2026</v>
      </c>
      <c r="G162" s="63" t="s">
        <v>98</v>
      </c>
      <c r="H162" s="2" t="s">
        <v>72</v>
      </c>
      <c r="I162" s="2" t="s">
        <v>399</v>
      </c>
      <c r="J162" s="2" t="s">
        <v>400</v>
      </c>
      <c r="K162" s="2" t="s">
        <v>75</v>
      </c>
      <c r="L162" s="2" t="s">
        <v>75</v>
      </c>
      <c r="M162" s="2" t="s">
        <v>152</v>
      </c>
      <c r="N162" s="68">
        <v>0.54166666666666663</v>
      </c>
      <c r="O162" s="68">
        <v>0.58333333333333337</v>
      </c>
      <c r="P162" s="69">
        <f t="shared" si="23"/>
        <v>1.0000000000000018</v>
      </c>
      <c r="Q162" s="2">
        <v>3</v>
      </c>
      <c r="R162" s="71" t="str">
        <f t="shared" ref="R162:R181" si="37">Q162&amp;L162&amp;A162</f>
        <v>3EDMIBERRECHID</v>
      </c>
      <c r="S162" s="72">
        <f>IF(P162="","",P162/VLOOKUP(R162,'Matrice Productivité '!I:J,2,FALSE)/100)</f>
        <v>7.7479338842975339E-4</v>
      </c>
      <c r="T162" s="24" t="s">
        <v>401</v>
      </c>
      <c r="U162" s="24" t="s">
        <v>402</v>
      </c>
      <c r="V162" s="2" t="s">
        <v>59</v>
      </c>
      <c r="W162" s="2" t="s">
        <v>403</v>
      </c>
    </row>
    <row r="163" spans="1:24" ht="51" customHeight="1">
      <c r="A163" s="63" t="s">
        <v>69</v>
      </c>
      <c r="B163" s="2" t="s">
        <v>70</v>
      </c>
      <c r="C163" s="39">
        <v>46044</v>
      </c>
      <c r="D163" s="65" t="str">
        <f t="shared" ref="D163" si="38">YEAR(C163)&amp;"-S0"&amp;WEEKNUM(C163)</f>
        <v>2026-S04</v>
      </c>
      <c r="E163" s="66" t="str">
        <f t="shared" ref="E163" si="39">YEAR(C163)&amp;"-M0"&amp;MONTH(C163)</f>
        <v>2026-M01</v>
      </c>
      <c r="F163" s="65">
        <f t="shared" ref="F163" si="40">YEAR(C163)</f>
        <v>2026</v>
      </c>
      <c r="G163" s="63" t="s">
        <v>156</v>
      </c>
      <c r="H163" s="2" t="s">
        <v>99</v>
      </c>
      <c r="I163" s="2" t="s">
        <v>224</v>
      </c>
      <c r="J163" s="2" t="s">
        <v>404</v>
      </c>
      <c r="K163" s="2" t="s">
        <v>75</v>
      </c>
      <c r="L163" s="2" t="s">
        <v>75</v>
      </c>
      <c r="M163" s="2" t="s">
        <v>131</v>
      </c>
      <c r="N163" s="68">
        <v>0.58333333333333337</v>
      </c>
      <c r="O163" s="68">
        <v>0.625</v>
      </c>
      <c r="P163" s="69">
        <f t="shared" si="23"/>
        <v>0.99999999999999911</v>
      </c>
      <c r="Q163" s="2">
        <v>3</v>
      </c>
      <c r="R163" s="71" t="str">
        <f t="shared" si="37"/>
        <v>3EDMIBERRECHID</v>
      </c>
      <c r="S163" s="72">
        <f>IF(P163="","",P163/VLOOKUP(R163,'Matrice Productivité '!I:J,2,FALSE)/100)</f>
        <v>7.7479338842975133E-4</v>
      </c>
      <c r="T163" s="24" t="s">
        <v>282</v>
      </c>
      <c r="U163" s="24" t="s">
        <v>405</v>
      </c>
      <c r="V163" s="2" t="s">
        <v>59</v>
      </c>
      <c r="W163" s="2" t="s">
        <v>403</v>
      </c>
    </row>
    <row r="164" spans="1:24" ht="51" customHeight="1">
      <c r="A164" s="63" t="s">
        <v>69</v>
      </c>
      <c r="B164" s="2" t="s">
        <v>105</v>
      </c>
      <c r="C164" s="39">
        <v>46044</v>
      </c>
      <c r="D164" s="65" t="s">
        <v>406</v>
      </c>
      <c r="E164" s="66" t="s">
        <v>407</v>
      </c>
      <c r="F164" s="65">
        <v>2026</v>
      </c>
      <c r="G164" s="63" t="s">
        <v>127</v>
      </c>
      <c r="H164" s="2" t="s">
        <v>99</v>
      </c>
      <c r="I164" s="2" t="s">
        <v>129</v>
      </c>
      <c r="J164" s="2" t="s">
        <v>130</v>
      </c>
      <c r="K164" s="2" t="s">
        <v>75</v>
      </c>
      <c r="L164" s="2" t="s">
        <v>75</v>
      </c>
      <c r="M164" s="2" t="s">
        <v>131</v>
      </c>
      <c r="N164" s="68">
        <v>0.58333333333333337</v>
      </c>
      <c r="O164" s="68">
        <v>0.625</v>
      </c>
      <c r="P164" s="69">
        <f t="shared" si="23"/>
        <v>0.99999999999999911</v>
      </c>
      <c r="Q164" s="2">
        <v>3</v>
      </c>
      <c r="R164" s="71" t="str">
        <f t="shared" si="37"/>
        <v>3EDMIBERRECHID</v>
      </c>
      <c r="S164" s="72">
        <f>IF(P164="","",P164/VLOOKUP(R164,'Matrice Productivité '!I:J,2,FALSE)/100)</f>
        <v>7.7479338842975133E-4</v>
      </c>
      <c r="T164" s="93" t="s">
        <v>401</v>
      </c>
      <c r="U164" s="93" t="s">
        <v>408</v>
      </c>
      <c r="V164" s="2" t="s">
        <v>59</v>
      </c>
      <c r="W164" s="2" t="s">
        <v>403</v>
      </c>
    </row>
    <row r="165" spans="1:24" ht="51" customHeight="1">
      <c r="A165" s="63" t="s">
        <v>69</v>
      </c>
      <c r="B165" s="2" t="s">
        <v>105</v>
      </c>
      <c r="C165" s="39">
        <v>46044</v>
      </c>
      <c r="D165" s="65" t="s">
        <v>406</v>
      </c>
      <c r="E165" s="66" t="s">
        <v>407</v>
      </c>
      <c r="F165" s="65">
        <v>2026</v>
      </c>
      <c r="G165" s="63" t="s">
        <v>127</v>
      </c>
      <c r="H165" s="2" t="s">
        <v>99</v>
      </c>
      <c r="I165" s="2" t="s">
        <v>129</v>
      </c>
      <c r="J165" s="2" t="s">
        <v>130</v>
      </c>
      <c r="K165" s="2" t="s">
        <v>75</v>
      </c>
      <c r="L165" s="2" t="s">
        <v>75</v>
      </c>
      <c r="M165" s="2" t="s">
        <v>131</v>
      </c>
      <c r="N165" s="68">
        <v>0.64583333333333337</v>
      </c>
      <c r="O165" s="68">
        <v>0.6875</v>
      </c>
      <c r="P165" s="69">
        <f t="shared" si="23"/>
        <v>0.99999999999999911</v>
      </c>
      <c r="Q165" s="2">
        <v>3</v>
      </c>
      <c r="R165" s="71" t="str">
        <f t="shared" si="37"/>
        <v>3EDMIBERRECHID</v>
      </c>
      <c r="S165" s="72">
        <f>IF(P165="","",P165/VLOOKUP(R165,'Matrice Productivité '!I:J,2,FALSE)/100)</f>
        <v>7.7479338842975133E-4</v>
      </c>
      <c r="T165" s="75" t="s">
        <v>409</v>
      </c>
      <c r="U165" s="24" t="s">
        <v>410</v>
      </c>
      <c r="V165" s="94" t="s">
        <v>411</v>
      </c>
      <c r="W165" s="2" t="s">
        <v>412</v>
      </c>
    </row>
    <row r="166" spans="1:24" ht="33.75" customHeight="1">
      <c r="A166" s="63" t="s">
        <v>69</v>
      </c>
      <c r="B166" s="2" t="s">
        <v>105</v>
      </c>
      <c r="C166" s="39">
        <v>46045</v>
      </c>
      <c r="D166" s="65" t="str">
        <f>YEAR(C166)&amp;"-S0"&amp;WEEKNUM(C166)</f>
        <v>2026-S04</v>
      </c>
      <c r="E166" s="66" t="str">
        <f>YEAR(C166)&amp;"-M0"&amp;MONTH(C166)</f>
        <v>2026-M01</v>
      </c>
      <c r="F166" s="65">
        <f>YEAR(C166)</f>
        <v>2026</v>
      </c>
      <c r="G166" s="2" t="s">
        <v>127</v>
      </c>
      <c r="H166" s="2" t="s">
        <v>413</v>
      </c>
      <c r="I166" s="2" t="s">
        <v>129</v>
      </c>
      <c r="J166" s="2" t="s">
        <v>130</v>
      </c>
      <c r="K166" s="2" t="s">
        <v>75</v>
      </c>
      <c r="L166" s="2" t="s">
        <v>75</v>
      </c>
      <c r="M166" s="2" t="s">
        <v>131</v>
      </c>
      <c r="N166" s="68">
        <v>0.91666666666666663</v>
      </c>
      <c r="O166" s="68">
        <v>0.99652777777777779</v>
      </c>
      <c r="P166" s="69">
        <f t="shared" si="23"/>
        <v>1.9166666666666679</v>
      </c>
      <c r="Q166" s="2">
        <v>3</v>
      </c>
      <c r="R166" s="71" t="str">
        <f t="shared" si="37"/>
        <v>3EDMIBERRECHID</v>
      </c>
      <c r="S166" s="72">
        <f>IF(P166="","",P166/VLOOKUP(R166,'Matrice Productivité '!I:J,2,FALSE)/100)</f>
        <v>1.4850206611570255E-3</v>
      </c>
      <c r="T166" s="24" t="s">
        <v>414</v>
      </c>
      <c r="U166" s="24" t="s">
        <v>415</v>
      </c>
      <c r="V166" s="74" t="s">
        <v>33</v>
      </c>
      <c r="W166" s="2" t="s">
        <v>127</v>
      </c>
    </row>
    <row r="167" spans="1:24" ht="26.25" customHeight="1">
      <c r="A167" s="63" t="s">
        <v>24</v>
      </c>
      <c r="B167" s="63" t="s">
        <v>25</v>
      </c>
      <c r="C167" s="82">
        <v>46045</v>
      </c>
      <c r="D167" s="65" t="str">
        <f t="shared" si="32"/>
        <v>2026-S04</v>
      </c>
      <c r="E167" s="66" t="str">
        <f t="shared" si="33"/>
        <v>2026-M01</v>
      </c>
      <c r="F167" s="65">
        <f t="shared" ref="F167" si="41">YEAR(C167)</f>
        <v>2026</v>
      </c>
      <c r="G167" s="83" t="s">
        <v>312</v>
      </c>
      <c r="H167" s="83" t="s">
        <v>27</v>
      </c>
      <c r="I167" s="83" t="s">
        <v>385</v>
      </c>
      <c r="J167" s="83" t="s">
        <v>224</v>
      </c>
      <c r="K167" s="2" t="s">
        <v>318</v>
      </c>
      <c r="L167" s="2" t="s">
        <v>318</v>
      </c>
      <c r="M167" s="83" t="s">
        <v>386</v>
      </c>
      <c r="N167" s="68">
        <v>0.35416666666666607</v>
      </c>
      <c r="O167" s="68">
        <v>0.54166666666666607</v>
      </c>
      <c r="P167" s="69">
        <f t="shared" si="23"/>
        <v>4.5</v>
      </c>
      <c r="Q167" s="84">
        <v>1</v>
      </c>
      <c r="R167" s="71" t="str">
        <f t="shared" si="37"/>
        <v>1SOLUSCOPETEMARA</v>
      </c>
      <c r="S167" s="72">
        <f>IF(P167="","",P167/VLOOKUP(R167,'Matrice Productivité '!I:J,2,FALSE)/100)</f>
        <v>8.6150718335575643E-4</v>
      </c>
      <c r="T167" s="75" t="s">
        <v>88</v>
      </c>
      <c r="U167" s="50" t="s">
        <v>387</v>
      </c>
      <c r="V167" s="74" t="s">
        <v>90</v>
      </c>
      <c r="W167" s="2" t="s">
        <v>91</v>
      </c>
    </row>
    <row r="168" spans="1:24" ht="30">
      <c r="A168" s="63" t="s">
        <v>69</v>
      </c>
      <c r="B168" s="2" t="s">
        <v>105</v>
      </c>
      <c r="C168" s="39">
        <v>46045</v>
      </c>
      <c r="D168" s="65" t="s">
        <v>406</v>
      </c>
      <c r="E168" s="66" t="s">
        <v>407</v>
      </c>
      <c r="F168" s="65">
        <v>2026</v>
      </c>
      <c r="G168" s="63" t="s">
        <v>127</v>
      </c>
      <c r="H168" s="2" t="s">
        <v>128</v>
      </c>
      <c r="I168" s="2" t="s">
        <v>129</v>
      </c>
      <c r="J168" s="2" t="s">
        <v>130</v>
      </c>
      <c r="K168" s="2" t="s">
        <v>75</v>
      </c>
      <c r="L168" s="2" t="s">
        <v>75</v>
      </c>
      <c r="M168" s="2" t="s">
        <v>131</v>
      </c>
      <c r="N168" s="68">
        <v>0.96527777777777779</v>
      </c>
      <c r="O168" s="68">
        <v>0.98611111111111116</v>
      </c>
      <c r="P168" s="69">
        <f t="shared" si="23"/>
        <v>0.50000000000000089</v>
      </c>
      <c r="Q168" s="2">
        <v>3</v>
      </c>
      <c r="R168" s="71" t="str">
        <f t="shared" si="37"/>
        <v>3EDMIBERRECHID</v>
      </c>
      <c r="S168" s="72">
        <f>IF(P168="","",P168/VLOOKUP(R168,'Matrice Productivité '!I:J,2,FALSE)/100)</f>
        <v>3.8739669421487669E-4</v>
      </c>
      <c r="T168" s="92" t="s">
        <v>416</v>
      </c>
      <c r="U168" s="92" t="s">
        <v>417</v>
      </c>
      <c r="V168" s="63" t="s">
        <v>52</v>
      </c>
      <c r="W168" s="2" t="s">
        <v>418</v>
      </c>
      <c r="X168" s="104" t="s">
        <v>419</v>
      </c>
    </row>
    <row r="169" spans="1:24" ht="45">
      <c r="A169" s="63" t="s">
        <v>69</v>
      </c>
      <c r="B169" s="2" t="s">
        <v>105</v>
      </c>
      <c r="C169" s="82">
        <v>46045</v>
      </c>
      <c r="D169" s="65" t="str">
        <f>YEAR(C169)&amp;"-S0"&amp;WEEKNUM(C169)</f>
        <v>2026-S04</v>
      </c>
      <c r="E169" s="66" t="str">
        <f>YEAR(C169)&amp;"-M0"&amp;MONTH(C169)</f>
        <v>2026-M01</v>
      </c>
      <c r="F169" s="65">
        <f>YEAR(C169)</f>
        <v>2026</v>
      </c>
      <c r="G169" s="2" t="s">
        <v>106</v>
      </c>
      <c r="H169" s="2" t="s">
        <v>99</v>
      </c>
      <c r="I169" s="2" t="s">
        <v>381</v>
      </c>
      <c r="J169" s="2" t="s">
        <v>382</v>
      </c>
      <c r="K169" s="2" t="s">
        <v>213</v>
      </c>
      <c r="L169" s="2" t="s">
        <v>48</v>
      </c>
      <c r="M169" s="2" t="s">
        <v>214</v>
      </c>
      <c r="N169" s="68">
        <v>0.70833333333333337</v>
      </c>
      <c r="O169" s="68">
        <v>0.91666666666666663</v>
      </c>
      <c r="P169" s="69">
        <f t="shared" si="23"/>
        <v>4.9999999999999982</v>
      </c>
      <c r="Q169" s="70">
        <v>2</v>
      </c>
      <c r="R169" s="71" t="str">
        <f t="shared" si="37"/>
        <v>2LE RESTEBERRECHID</v>
      </c>
      <c r="S169" s="72">
        <f>IF(P169="","",P169/VLOOKUP(R169,'Matrice Productivité '!I:J,2,FALSE)/100)</f>
        <v>1.9369834710743794E-3</v>
      </c>
      <c r="T169" s="24" t="s">
        <v>383</v>
      </c>
      <c r="U169" s="24" t="s">
        <v>384</v>
      </c>
      <c r="V169" s="74" t="s">
        <v>33</v>
      </c>
      <c r="W169" s="2" t="s">
        <v>112</v>
      </c>
    </row>
    <row r="170" spans="1:24" ht="45">
      <c r="A170" s="63" t="s">
        <v>69</v>
      </c>
      <c r="B170" s="2" t="s">
        <v>105</v>
      </c>
      <c r="C170" s="82">
        <v>46046</v>
      </c>
      <c r="D170" s="65" t="str">
        <f>YEAR(C170)&amp;"-S0"&amp;WEEKNUM(C170)</f>
        <v>2026-S04</v>
      </c>
      <c r="E170" s="66" t="str">
        <f>YEAR(C170)&amp;"-M0"&amp;MONTH(C170)</f>
        <v>2026-M01</v>
      </c>
      <c r="F170" s="65">
        <f>YEAR(C170)</f>
        <v>2026</v>
      </c>
      <c r="G170" s="2" t="s">
        <v>106</v>
      </c>
      <c r="H170" s="2" t="s">
        <v>72</v>
      </c>
      <c r="I170" s="2" t="s">
        <v>381</v>
      </c>
      <c r="J170" s="2" t="s">
        <v>382</v>
      </c>
      <c r="K170" s="2" t="s">
        <v>213</v>
      </c>
      <c r="L170" s="2" t="s">
        <v>48</v>
      </c>
      <c r="M170" s="2" t="s">
        <v>214</v>
      </c>
      <c r="N170" s="68">
        <v>0.25</v>
      </c>
      <c r="O170" s="68">
        <v>0.29166666666666669</v>
      </c>
      <c r="P170" s="69">
        <f t="shared" si="23"/>
        <v>1.0000000000000004</v>
      </c>
      <c r="Q170" s="70">
        <v>2</v>
      </c>
      <c r="R170" s="71" t="str">
        <f t="shared" si="37"/>
        <v>2LE RESTEBERRECHID</v>
      </c>
      <c r="S170" s="72">
        <f>IF(P170="","",P170/VLOOKUP(R170,'Matrice Productivité '!I:J,2,FALSE)/100)</f>
        <v>3.8739669421487615E-4</v>
      </c>
      <c r="T170" s="24" t="s">
        <v>383</v>
      </c>
      <c r="U170" s="24" t="s">
        <v>384</v>
      </c>
      <c r="V170" s="74" t="s">
        <v>33</v>
      </c>
      <c r="W170" s="2" t="s">
        <v>112</v>
      </c>
    </row>
    <row r="171" spans="1:24" ht="45">
      <c r="A171" s="63" t="s">
        <v>69</v>
      </c>
      <c r="B171" s="2" t="s">
        <v>105</v>
      </c>
      <c r="C171" s="82">
        <v>46046</v>
      </c>
      <c r="D171" s="65" t="str">
        <f t="shared" ref="D171:D174" si="42">YEAR(C171)&amp;"-S0"&amp;WEEKNUM(C171)</f>
        <v>2026-S04</v>
      </c>
      <c r="E171" s="66" t="str">
        <f t="shared" ref="E171:E174" si="43">YEAR(C171)&amp;"-M0"&amp;MONTH(C171)</f>
        <v>2026-M01</v>
      </c>
      <c r="F171" s="65">
        <f t="shared" ref="F171:F174" si="44">YEAR(C171)</f>
        <v>2026</v>
      </c>
      <c r="G171" s="2" t="s">
        <v>106</v>
      </c>
      <c r="H171" s="2" t="s">
        <v>72</v>
      </c>
      <c r="I171" s="2" t="s">
        <v>381</v>
      </c>
      <c r="J171" s="2" t="s">
        <v>382</v>
      </c>
      <c r="K171" s="2" t="s">
        <v>213</v>
      </c>
      <c r="L171" s="2" t="s">
        <v>48</v>
      </c>
      <c r="M171" s="2" t="s">
        <v>214</v>
      </c>
      <c r="N171" s="68">
        <v>0.45833333333333331</v>
      </c>
      <c r="O171" s="68">
        <v>0.5</v>
      </c>
      <c r="P171" s="69">
        <f t="shared" si="23"/>
        <v>1.0000000000000004</v>
      </c>
      <c r="Q171" s="70">
        <v>2</v>
      </c>
      <c r="R171" s="71" t="str">
        <f t="shared" si="37"/>
        <v>2LE RESTEBERRECHID</v>
      </c>
      <c r="S171" s="72">
        <f>IF(P171="","",P171/VLOOKUP(R171,'Matrice Productivité '!I:J,2,FALSE)/100)</f>
        <v>3.8739669421487615E-4</v>
      </c>
      <c r="T171" s="24" t="s">
        <v>383</v>
      </c>
      <c r="U171" s="24" t="s">
        <v>384</v>
      </c>
      <c r="V171" s="74" t="s">
        <v>33</v>
      </c>
      <c r="W171" s="2" t="s">
        <v>112</v>
      </c>
    </row>
    <row r="172" spans="1:24" ht="45">
      <c r="A172" s="63" t="s">
        <v>69</v>
      </c>
      <c r="B172" s="2" t="s">
        <v>105</v>
      </c>
      <c r="C172" s="82">
        <v>46046</v>
      </c>
      <c r="D172" s="65" t="str">
        <f t="shared" si="42"/>
        <v>2026-S04</v>
      </c>
      <c r="E172" s="66" t="str">
        <f t="shared" si="43"/>
        <v>2026-M01</v>
      </c>
      <c r="F172" s="65">
        <f t="shared" si="44"/>
        <v>2026</v>
      </c>
      <c r="G172" s="2" t="s">
        <v>106</v>
      </c>
      <c r="H172" s="2" t="s">
        <v>72</v>
      </c>
      <c r="I172" s="2" t="s">
        <v>381</v>
      </c>
      <c r="J172" s="2" t="s">
        <v>382</v>
      </c>
      <c r="K172" s="2" t="s">
        <v>213</v>
      </c>
      <c r="L172" s="2" t="s">
        <v>48</v>
      </c>
      <c r="M172" s="2" t="s">
        <v>214</v>
      </c>
      <c r="N172" s="68">
        <v>0.54166666666666663</v>
      </c>
      <c r="O172" s="68">
        <v>0.58333333333333337</v>
      </c>
      <c r="P172" s="69">
        <f t="shared" si="23"/>
        <v>1.0000000000000018</v>
      </c>
      <c r="Q172" s="70">
        <v>2</v>
      </c>
      <c r="R172" s="71" t="str">
        <f t="shared" si="37"/>
        <v>2LE RESTEBERRECHID</v>
      </c>
      <c r="S172" s="72">
        <f>IF(P172="","",P172/VLOOKUP(R172,'Matrice Productivité '!I:J,2,FALSE)/100)</f>
        <v>3.8739669421487669E-4</v>
      </c>
      <c r="T172" s="24" t="s">
        <v>383</v>
      </c>
      <c r="U172" s="24" t="s">
        <v>384</v>
      </c>
      <c r="V172" s="74" t="s">
        <v>33</v>
      </c>
      <c r="W172" s="2" t="s">
        <v>112</v>
      </c>
    </row>
    <row r="173" spans="1:24" ht="30">
      <c r="A173" s="63" t="s">
        <v>69</v>
      </c>
      <c r="B173" s="2" t="s">
        <v>105</v>
      </c>
      <c r="C173" s="82">
        <v>46048</v>
      </c>
      <c r="D173" s="65" t="str">
        <f t="shared" si="42"/>
        <v>2026-S05</v>
      </c>
      <c r="E173" s="66" t="str">
        <f t="shared" si="43"/>
        <v>2026-M01</v>
      </c>
      <c r="F173" s="65">
        <f t="shared" si="44"/>
        <v>2026</v>
      </c>
      <c r="G173" s="2" t="s">
        <v>106</v>
      </c>
      <c r="H173" s="2" t="s">
        <v>72</v>
      </c>
      <c r="I173" s="2" t="s">
        <v>179</v>
      </c>
      <c r="J173" s="2" t="s">
        <v>183</v>
      </c>
      <c r="K173" s="2" t="s">
        <v>108</v>
      </c>
      <c r="L173" s="2" t="s">
        <v>108</v>
      </c>
      <c r="M173" s="2" t="s">
        <v>420</v>
      </c>
      <c r="N173" s="68">
        <v>0.25</v>
      </c>
      <c r="O173" s="68">
        <v>0.31944444444444442</v>
      </c>
      <c r="P173" s="69">
        <f t="shared" si="23"/>
        <v>1.6666666666666661</v>
      </c>
      <c r="Q173" s="70">
        <v>2</v>
      </c>
      <c r="R173" s="71" t="str">
        <f t="shared" si="37"/>
        <v>2EMSBERRECHID</v>
      </c>
      <c r="S173" s="72">
        <f>IF(P173="","",P173/VLOOKUP(R173,'Matrice Productivité '!I:J,2,FALSE)/100)</f>
        <v>3.0991735537190079E-4</v>
      </c>
      <c r="T173" s="24" t="s">
        <v>144</v>
      </c>
      <c r="U173" s="24" t="s">
        <v>421</v>
      </c>
      <c r="V173" s="74" t="s">
        <v>33</v>
      </c>
      <c r="W173" s="2" t="s">
        <v>145</v>
      </c>
    </row>
    <row r="174" spans="1:24" ht="30">
      <c r="A174" s="63" t="s">
        <v>69</v>
      </c>
      <c r="B174" s="2" t="s">
        <v>105</v>
      </c>
      <c r="C174" s="82">
        <v>46048</v>
      </c>
      <c r="D174" s="65" t="str">
        <f t="shared" si="42"/>
        <v>2026-S05</v>
      </c>
      <c r="E174" s="66" t="str">
        <f t="shared" si="43"/>
        <v>2026-M01</v>
      </c>
      <c r="F174" s="65">
        <f t="shared" si="44"/>
        <v>2026</v>
      </c>
      <c r="G174" s="2" t="s">
        <v>170</v>
      </c>
      <c r="H174" s="2" t="s">
        <v>72</v>
      </c>
      <c r="I174" s="2" t="s">
        <v>158</v>
      </c>
      <c r="J174" s="2" t="s">
        <v>194</v>
      </c>
      <c r="K174" s="2" t="s">
        <v>108</v>
      </c>
      <c r="L174" s="2" t="s">
        <v>108</v>
      </c>
      <c r="M174" s="2" t="s">
        <v>422</v>
      </c>
      <c r="N174" s="68">
        <v>0.25</v>
      </c>
      <c r="O174" s="68">
        <v>0.31944444444444442</v>
      </c>
      <c r="P174" s="69">
        <f t="shared" si="23"/>
        <v>1.6666666666666661</v>
      </c>
      <c r="Q174" s="70">
        <v>2</v>
      </c>
      <c r="R174" s="71" t="str">
        <f t="shared" si="37"/>
        <v>2EMSBERRECHID</v>
      </c>
      <c r="S174" s="72">
        <f>IF(P174="","",P174/VLOOKUP(R174,'Matrice Productivité '!I:J,2,FALSE)/100)</f>
        <v>3.0991735537190079E-4</v>
      </c>
      <c r="T174" s="24" t="s">
        <v>144</v>
      </c>
      <c r="U174" s="24" t="s">
        <v>421</v>
      </c>
      <c r="V174" s="74" t="s">
        <v>33</v>
      </c>
      <c r="W174" s="2" t="s">
        <v>145</v>
      </c>
    </row>
    <row r="175" spans="1:24" ht="30">
      <c r="A175" s="63" t="s">
        <v>69</v>
      </c>
      <c r="B175" s="2" t="s">
        <v>105</v>
      </c>
      <c r="C175" s="82">
        <v>46048</v>
      </c>
      <c r="D175" s="65" t="str">
        <f t="shared" ref="D175" si="45">YEAR(C175)&amp;"-S0"&amp;WEEKNUM(C175)</f>
        <v>2026-S05</v>
      </c>
      <c r="E175" s="66" t="str">
        <f t="shared" ref="E175" si="46">YEAR(C175)&amp;"-M0"&amp;MONTH(C175)</f>
        <v>2026-M01</v>
      </c>
      <c r="F175" s="65">
        <f t="shared" ref="F175" si="47">YEAR(C175)</f>
        <v>2026</v>
      </c>
      <c r="G175" s="2" t="s">
        <v>170</v>
      </c>
      <c r="H175" s="2" t="s">
        <v>72</v>
      </c>
      <c r="I175" s="2" t="s">
        <v>158</v>
      </c>
      <c r="J175" s="2" t="s">
        <v>159</v>
      </c>
      <c r="K175" s="2" t="s">
        <v>108</v>
      </c>
      <c r="L175" s="2" t="s">
        <v>108</v>
      </c>
      <c r="M175" s="2" t="s">
        <v>423</v>
      </c>
      <c r="N175" s="68">
        <v>0.25</v>
      </c>
      <c r="O175" s="68">
        <v>0.31944444444444442</v>
      </c>
      <c r="P175" s="69">
        <f t="shared" si="23"/>
        <v>1.6666666666666661</v>
      </c>
      <c r="Q175" s="70">
        <v>2</v>
      </c>
      <c r="R175" s="71" t="str">
        <f t="shared" si="37"/>
        <v>2EMSBERRECHID</v>
      </c>
      <c r="S175" s="72">
        <f>IF(P175="","",P175/VLOOKUP(R175,'Matrice Productivité '!I:J,2,FALSE)/100)</f>
        <v>3.0991735537190079E-4</v>
      </c>
      <c r="T175" s="24" t="s">
        <v>144</v>
      </c>
      <c r="U175" s="24" t="s">
        <v>421</v>
      </c>
      <c r="V175" s="74" t="s">
        <v>33</v>
      </c>
      <c r="W175" s="2" t="s">
        <v>145</v>
      </c>
    </row>
    <row r="176" spans="1:24" ht="45">
      <c r="A176" s="63" t="s">
        <v>69</v>
      </c>
      <c r="B176" s="2" t="s">
        <v>105</v>
      </c>
      <c r="C176" s="82">
        <v>46048</v>
      </c>
      <c r="D176" s="65" t="str">
        <f t="shared" ref="D176:D177" si="48">YEAR(C176)&amp;"-S0"&amp;WEEKNUM(C176)</f>
        <v>2026-S05</v>
      </c>
      <c r="E176" s="66" t="str">
        <f t="shared" ref="E176:E177" si="49">YEAR(C176)&amp;"-M0"&amp;MONTH(C176)</f>
        <v>2026-M01</v>
      </c>
      <c r="F176" s="65">
        <f t="shared" ref="F176:F177" si="50">YEAR(C176)</f>
        <v>2026</v>
      </c>
      <c r="G176" s="2" t="s">
        <v>170</v>
      </c>
      <c r="H176" s="2" t="s">
        <v>72</v>
      </c>
      <c r="I176" s="2" t="s">
        <v>158</v>
      </c>
      <c r="J176" s="2" t="s">
        <v>159</v>
      </c>
      <c r="K176" s="2" t="s">
        <v>48</v>
      </c>
      <c r="L176" s="2" t="s">
        <v>48</v>
      </c>
      <c r="M176" s="2" t="s">
        <v>424</v>
      </c>
      <c r="N176" s="68">
        <v>0.25</v>
      </c>
      <c r="O176" s="68">
        <v>0.31944444444444442</v>
      </c>
      <c r="P176" s="69">
        <f>(O176-N176)*24</f>
        <v>1.6666666666666661</v>
      </c>
      <c r="Q176" s="70">
        <v>2</v>
      </c>
      <c r="R176" s="71" t="str">
        <f t="shared" si="37"/>
        <v>2LE RESTEBERRECHID</v>
      </c>
      <c r="S176" s="72">
        <f>IF(P176="","",P176/VLOOKUP(R176,'Matrice Productivité '!I:J,2,FALSE)/100)</f>
        <v>6.4566115702479308E-4</v>
      </c>
      <c r="T176" s="24" t="s">
        <v>144</v>
      </c>
      <c r="U176" s="24" t="s">
        <v>421</v>
      </c>
      <c r="V176" s="74" t="s">
        <v>33</v>
      </c>
      <c r="W176" s="2" t="s">
        <v>145</v>
      </c>
    </row>
    <row r="177" spans="1:25" ht="30">
      <c r="A177" s="63" t="s">
        <v>69</v>
      </c>
      <c r="B177" s="2" t="s">
        <v>105</v>
      </c>
      <c r="C177" s="82">
        <v>46048</v>
      </c>
      <c r="D177" s="65" t="str">
        <f t="shared" si="48"/>
        <v>2026-S05</v>
      </c>
      <c r="E177" s="66" t="str">
        <f t="shared" si="49"/>
        <v>2026-M01</v>
      </c>
      <c r="F177" s="65">
        <f t="shared" si="50"/>
        <v>2026</v>
      </c>
      <c r="G177" s="2" t="s">
        <v>170</v>
      </c>
      <c r="H177" s="2" t="s">
        <v>72</v>
      </c>
      <c r="I177" s="2" t="s">
        <v>158</v>
      </c>
      <c r="J177" s="2" t="s">
        <v>159</v>
      </c>
      <c r="K177" s="2" t="s">
        <v>75</v>
      </c>
      <c r="L177" s="2" t="s">
        <v>75</v>
      </c>
      <c r="M177" s="2" t="s">
        <v>425</v>
      </c>
      <c r="N177" s="68">
        <v>0.25</v>
      </c>
      <c r="O177" s="68">
        <v>0.31944444444444442</v>
      </c>
      <c r="P177" s="69">
        <f t="shared" ref="P177:P187" si="51">(O177-N177)*24</f>
        <v>1.6666666666666661</v>
      </c>
      <c r="Q177" s="70">
        <v>3</v>
      </c>
      <c r="R177" s="71" t="str">
        <f t="shared" si="37"/>
        <v>3EDMIBERRECHID</v>
      </c>
      <c r="S177" s="72">
        <f>IF(P177="","",P177/VLOOKUP(R177,'Matrice Productivité '!I:J,2,FALSE)/100)</f>
        <v>1.2913223140495862E-3</v>
      </c>
      <c r="T177" s="24" t="s">
        <v>144</v>
      </c>
      <c r="U177" s="24" t="s">
        <v>421</v>
      </c>
      <c r="V177" s="74" t="s">
        <v>33</v>
      </c>
      <c r="W177" s="2" t="s">
        <v>145</v>
      </c>
    </row>
    <row r="178" spans="1:25" ht="30">
      <c r="A178" s="63" t="s">
        <v>367</v>
      </c>
      <c r="B178" s="2" t="s">
        <v>105</v>
      </c>
      <c r="C178" s="39">
        <v>46048</v>
      </c>
      <c r="D178" s="65" t="str">
        <f t="shared" ref="D178:D181" si="52">YEAR(C178)&amp;"-S0"&amp;WEEKNUM(C178)</f>
        <v>2026-S05</v>
      </c>
      <c r="E178" s="66" t="str">
        <f t="shared" ref="E178:E181" si="53">YEAR(C178)&amp;"-M0"&amp;MONTH(C178)</f>
        <v>2026-M01</v>
      </c>
      <c r="F178" s="65">
        <f t="shared" ref="F178:F181" si="54">YEAR(C178)</f>
        <v>2026</v>
      </c>
      <c r="G178" s="63" t="s">
        <v>426</v>
      </c>
      <c r="H178" s="2" t="s">
        <v>72</v>
      </c>
      <c r="I178" s="2" t="s">
        <v>427</v>
      </c>
      <c r="J178" s="2" t="s">
        <v>178</v>
      </c>
      <c r="K178" s="2" t="s">
        <v>75</v>
      </c>
      <c r="L178" s="2" t="s">
        <v>75</v>
      </c>
      <c r="M178" s="2" t="s">
        <v>131</v>
      </c>
      <c r="N178" s="52">
        <v>0.43055555555555558</v>
      </c>
      <c r="O178" s="52">
        <v>0.58333333333333337</v>
      </c>
      <c r="P178" s="69">
        <f t="shared" si="51"/>
        <v>3.666666666666667</v>
      </c>
      <c r="Q178" s="2">
        <v>3</v>
      </c>
      <c r="R178" s="71" t="str">
        <f t="shared" si="37"/>
        <v>3EDMIBerrechid</v>
      </c>
      <c r="S178" s="72">
        <f>IF(P178="","",P178/VLOOKUP(R178,'Matrice Productivité '!I:J,2,FALSE)/100)</f>
        <v>2.8409090909090906E-3</v>
      </c>
      <c r="T178" s="24" t="s">
        <v>88</v>
      </c>
      <c r="U178" s="24" t="s">
        <v>428</v>
      </c>
      <c r="V178" s="2" t="s">
        <v>90</v>
      </c>
      <c r="W178" s="2" t="s">
        <v>429</v>
      </c>
    </row>
    <row r="179" spans="1:25" ht="24" customHeight="1">
      <c r="A179" s="2" t="s">
        <v>367</v>
      </c>
      <c r="B179" s="2" t="s">
        <v>105</v>
      </c>
      <c r="C179" s="95">
        <v>46049</v>
      </c>
      <c r="D179" s="65" t="str">
        <f t="shared" si="52"/>
        <v>2026-S05</v>
      </c>
      <c r="E179" s="66" t="str">
        <f t="shared" si="53"/>
        <v>2026-M01</v>
      </c>
      <c r="F179" s="65">
        <f t="shared" si="54"/>
        <v>2026</v>
      </c>
      <c r="G179" s="2" t="s">
        <v>106</v>
      </c>
      <c r="H179" s="2" t="s">
        <v>72</v>
      </c>
      <c r="I179" s="2" t="s">
        <v>179</v>
      </c>
      <c r="J179" s="2" t="s">
        <v>183</v>
      </c>
      <c r="K179" s="2" t="s">
        <v>118</v>
      </c>
      <c r="L179" s="2" t="s">
        <v>48</v>
      </c>
      <c r="M179" s="2" t="s">
        <v>430</v>
      </c>
      <c r="N179" s="68">
        <v>0.25</v>
      </c>
      <c r="O179" s="68">
        <v>0.41666666666666669</v>
      </c>
      <c r="P179" s="69">
        <f t="shared" si="51"/>
        <v>4</v>
      </c>
      <c r="Q179" s="70">
        <v>2</v>
      </c>
      <c r="R179" s="96" t="str">
        <f t="shared" si="37"/>
        <v>2LE RESTEBerrechid</v>
      </c>
      <c r="S179" s="72">
        <f>IF(P179="","",P179/VLOOKUP(R179,'Matrice Productivité '!I:J,2,FALSE)/100)</f>
        <v>1.549586776859504E-3</v>
      </c>
      <c r="T179" s="24" t="s">
        <v>88</v>
      </c>
      <c r="U179" s="24" t="s">
        <v>431</v>
      </c>
      <c r="V179" s="2" t="s">
        <v>90</v>
      </c>
      <c r="W179" s="2" t="s">
        <v>429</v>
      </c>
      <c r="X179" s="106"/>
    </row>
    <row r="180" spans="1:25" ht="30">
      <c r="A180" s="63" t="s">
        <v>367</v>
      </c>
      <c r="B180" s="2" t="s">
        <v>105</v>
      </c>
      <c r="C180" s="39">
        <v>46049</v>
      </c>
      <c r="D180" s="65" t="str">
        <f t="shared" si="52"/>
        <v>2026-S05</v>
      </c>
      <c r="E180" s="66" t="str">
        <f t="shared" si="53"/>
        <v>2026-M01</v>
      </c>
      <c r="F180" s="65">
        <f t="shared" si="54"/>
        <v>2026</v>
      </c>
      <c r="G180" s="63" t="s">
        <v>368</v>
      </c>
      <c r="H180" s="2" t="s">
        <v>99</v>
      </c>
      <c r="I180" s="2" t="s">
        <v>129</v>
      </c>
      <c r="J180" s="2" t="s">
        <v>130</v>
      </c>
      <c r="K180" s="2" t="s">
        <v>75</v>
      </c>
      <c r="L180" s="2" t="s">
        <v>75</v>
      </c>
      <c r="M180" s="2" t="s">
        <v>432</v>
      </c>
      <c r="N180" s="52">
        <v>0.5625</v>
      </c>
      <c r="O180" s="52">
        <v>0.64583333333333337</v>
      </c>
      <c r="P180" s="69">
        <f t="shared" si="51"/>
        <v>2.0000000000000009</v>
      </c>
      <c r="Q180" s="2">
        <v>3</v>
      </c>
      <c r="R180" s="71" t="str">
        <f t="shared" si="37"/>
        <v>3EDMIBerrechid</v>
      </c>
      <c r="S180" s="72">
        <f>IF(P180="","",P180/VLOOKUP(R180,'Matrice Productivité '!I:J,2,FALSE)/100)</f>
        <v>1.5495867768595046E-3</v>
      </c>
      <c r="T180" s="49" t="s">
        <v>433</v>
      </c>
      <c r="U180" s="49" t="s">
        <v>434</v>
      </c>
      <c r="V180" s="2" t="s">
        <v>59</v>
      </c>
      <c r="W180" s="3" t="s">
        <v>403</v>
      </c>
      <c r="X180" s="49" t="s">
        <v>435</v>
      </c>
      <c r="Y180" s="105"/>
    </row>
    <row r="181" spans="1:25" ht="30">
      <c r="A181" s="63" t="s">
        <v>367</v>
      </c>
      <c r="B181" s="2" t="s">
        <v>105</v>
      </c>
      <c r="C181" s="39">
        <v>46049</v>
      </c>
      <c r="D181" s="65" t="str">
        <f t="shared" si="52"/>
        <v>2026-S05</v>
      </c>
      <c r="E181" s="66" t="str">
        <f t="shared" si="53"/>
        <v>2026-M01</v>
      </c>
      <c r="F181" s="65">
        <f t="shared" si="54"/>
        <v>2026</v>
      </c>
      <c r="G181" s="63" t="s">
        <v>368</v>
      </c>
      <c r="H181" s="2" t="s">
        <v>99</v>
      </c>
      <c r="I181" s="2" t="s">
        <v>129</v>
      </c>
      <c r="J181" s="2" t="s">
        <v>130</v>
      </c>
      <c r="K181" s="2" t="s">
        <v>75</v>
      </c>
      <c r="L181" s="2" t="s">
        <v>75</v>
      </c>
      <c r="M181" s="2" t="s">
        <v>432</v>
      </c>
      <c r="N181" s="52">
        <v>0.79166666666666663</v>
      </c>
      <c r="O181" s="52">
        <v>0.91666666666666663</v>
      </c>
      <c r="P181" s="69">
        <f t="shared" si="51"/>
        <v>3</v>
      </c>
      <c r="Q181" s="2">
        <v>3</v>
      </c>
      <c r="R181" s="71" t="str">
        <f t="shared" si="37"/>
        <v>3EDMIBerrechid</v>
      </c>
      <c r="S181" s="72">
        <f>IF(P181="","",P181/VLOOKUP(R181,'Matrice Productivité '!I:J,2,FALSE)/100)</f>
        <v>2.3243801652892558E-3</v>
      </c>
      <c r="T181" s="49" t="s">
        <v>433</v>
      </c>
      <c r="U181" s="49" t="s">
        <v>434</v>
      </c>
      <c r="V181" s="63" t="s">
        <v>52</v>
      </c>
      <c r="W181" s="3" t="s">
        <v>436</v>
      </c>
      <c r="X181" s="49" t="s">
        <v>437</v>
      </c>
      <c r="Y181" s="105"/>
    </row>
    <row r="182" spans="1:25" ht="30">
      <c r="A182" s="63" t="s">
        <v>24</v>
      </c>
      <c r="B182" s="63" t="s">
        <v>25</v>
      </c>
      <c r="C182" s="82">
        <v>46048</v>
      </c>
      <c r="D182" s="65" t="str">
        <f t="shared" ref="D182:D183" si="55">YEAR(C182)&amp;"-S0"&amp;WEEKNUM(C182)</f>
        <v>2026-S05</v>
      </c>
      <c r="E182" s="66" t="str">
        <f t="shared" ref="E182:E184" si="56">YEAR(C182)&amp;"-M0"&amp;MONTH(C182)</f>
        <v>2026-M01</v>
      </c>
      <c r="F182" s="65">
        <f t="shared" ref="F182:F184" si="57">YEAR(C182)</f>
        <v>2026</v>
      </c>
      <c r="G182" s="83" t="s">
        <v>26</v>
      </c>
      <c r="H182" s="83" t="s">
        <v>27</v>
      </c>
      <c r="I182" s="83" t="s">
        <v>45</v>
      </c>
      <c r="J182" s="83" t="s">
        <v>341</v>
      </c>
      <c r="K182" s="83" t="s">
        <v>30</v>
      </c>
      <c r="L182" s="83" t="s">
        <v>30</v>
      </c>
      <c r="M182" s="83">
        <v>5505</v>
      </c>
      <c r="N182" s="68">
        <v>0.35416666666666607</v>
      </c>
      <c r="O182" s="68">
        <v>0.75</v>
      </c>
      <c r="P182" s="69">
        <f>(O182-N182)*24</f>
        <v>9.5000000000000142</v>
      </c>
      <c r="Q182" s="84">
        <v>1</v>
      </c>
      <c r="R182" s="71" t="str">
        <f t="shared" ref="R182:R184" si="58">Q182&amp;L182&amp;A182</f>
        <v>1ABBTEMARA</v>
      </c>
      <c r="S182" s="72">
        <f>IF(P182="","",P182/VLOOKUP(R182,'Matrice Productivité '!I:J,2,FALSE)/100)</f>
        <v>1.6554076374207211E-2</v>
      </c>
      <c r="T182" s="86" t="s">
        <v>110</v>
      </c>
      <c r="U182" s="51" t="s">
        <v>438</v>
      </c>
      <c r="V182" s="74" t="s">
        <v>33</v>
      </c>
      <c r="W182" s="83" t="s">
        <v>439</v>
      </c>
      <c r="X182" s="103" t="s">
        <v>440</v>
      </c>
    </row>
    <row r="183" spans="1:25" ht="30">
      <c r="A183" s="63" t="s">
        <v>24</v>
      </c>
      <c r="B183" s="63" t="s">
        <v>25</v>
      </c>
      <c r="C183" s="82">
        <v>46049</v>
      </c>
      <c r="D183" s="65" t="str">
        <f t="shared" si="55"/>
        <v>2026-S05</v>
      </c>
      <c r="E183" s="66" t="str">
        <f t="shared" si="56"/>
        <v>2026-M01</v>
      </c>
      <c r="F183" s="65">
        <f t="shared" si="57"/>
        <v>2026</v>
      </c>
      <c r="G183" s="83" t="s">
        <v>26</v>
      </c>
      <c r="H183" s="83" t="s">
        <v>27</v>
      </c>
      <c r="I183" s="83" t="s">
        <v>45</v>
      </c>
      <c r="J183" s="83" t="s">
        <v>341</v>
      </c>
      <c r="K183" s="83" t="s">
        <v>30</v>
      </c>
      <c r="L183" s="83" t="s">
        <v>30</v>
      </c>
      <c r="M183" s="83">
        <v>5505</v>
      </c>
      <c r="N183" s="68">
        <v>0.35416666666666607</v>
      </c>
      <c r="O183" s="68">
        <v>0.75</v>
      </c>
      <c r="P183" s="69">
        <f t="shared" si="51"/>
        <v>9.5000000000000142</v>
      </c>
      <c r="Q183" s="84">
        <v>1</v>
      </c>
      <c r="R183" s="71" t="str">
        <f t="shared" si="58"/>
        <v>1ABBTEMARA</v>
      </c>
      <c r="S183" s="72">
        <f>IF(P183="","",P183/VLOOKUP(R183,'Matrice Productivité '!I:J,2,FALSE)/100)</f>
        <v>1.6554076374207211E-2</v>
      </c>
      <c r="T183" s="86" t="s">
        <v>110</v>
      </c>
      <c r="U183" s="51" t="s">
        <v>438</v>
      </c>
      <c r="V183" s="74" t="s">
        <v>33</v>
      </c>
      <c r="W183" s="83" t="s">
        <v>439</v>
      </c>
    </row>
    <row r="184" spans="1:25" ht="30">
      <c r="A184" s="63" t="s">
        <v>24</v>
      </c>
      <c r="B184" s="63" t="s">
        <v>25</v>
      </c>
      <c r="C184" s="82">
        <v>46050</v>
      </c>
      <c r="D184" s="65" t="str">
        <f t="shared" ref="D184:D189" si="59">YEAR(C184)&amp;"-S0"&amp;WEEKNUM(C184)</f>
        <v>2026-S05</v>
      </c>
      <c r="E184" s="66" t="str">
        <f t="shared" si="56"/>
        <v>2026-M01</v>
      </c>
      <c r="F184" s="65">
        <f t="shared" si="57"/>
        <v>2026</v>
      </c>
      <c r="G184" s="83" t="s">
        <v>26</v>
      </c>
      <c r="H184" s="83" t="s">
        <v>27</v>
      </c>
      <c r="I184" s="83" t="s">
        <v>45</v>
      </c>
      <c r="J184" s="83" t="s">
        <v>341</v>
      </c>
      <c r="K184" s="83" t="s">
        <v>30</v>
      </c>
      <c r="L184" s="83" t="s">
        <v>30</v>
      </c>
      <c r="M184" s="83">
        <v>5527</v>
      </c>
      <c r="N184" s="68">
        <v>0.35416666666666607</v>
      </c>
      <c r="O184" s="68">
        <v>0.75</v>
      </c>
      <c r="P184" s="69">
        <f t="shared" si="51"/>
        <v>9.5000000000000142</v>
      </c>
      <c r="Q184" s="84">
        <v>1</v>
      </c>
      <c r="R184" s="71" t="str">
        <f t="shared" si="58"/>
        <v>1ABBTEMARA</v>
      </c>
      <c r="S184" s="72">
        <f>IF(P184="","",P184/VLOOKUP(R184,'Matrice Productivité '!I:J,2,FALSE)/100)</f>
        <v>1.6554076374207211E-2</v>
      </c>
      <c r="T184" s="86" t="s">
        <v>110</v>
      </c>
      <c r="U184" s="51" t="s">
        <v>438</v>
      </c>
      <c r="V184" s="74" t="s">
        <v>33</v>
      </c>
      <c r="W184" s="83" t="s">
        <v>439</v>
      </c>
    </row>
    <row r="185" spans="1:25" ht="30">
      <c r="A185" s="53" t="s">
        <v>367</v>
      </c>
      <c r="B185" s="54" t="s">
        <v>105</v>
      </c>
      <c r="C185" s="39">
        <v>46050</v>
      </c>
      <c r="D185" s="55" t="str">
        <f t="shared" si="59"/>
        <v>2026-S05</v>
      </c>
      <c r="E185" s="56" t="str">
        <f>YEAR(C185)&amp;"-M0"&amp;MONTH(C185)</f>
        <v>2026-M01</v>
      </c>
      <c r="F185" s="55">
        <f>YEAR(C185)</f>
        <v>2026</v>
      </c>
      <c r="G185" s="2" t="s">
        <v>441</v>
      </c>
      <c r="H185" s="54" t="s">
        <v>442</v>
      </c>
      <c r="I185" s="2" t="s">
        <v>129</v>
      </c>
      <c r="J185" s="2" t="s">
        <v>130</v>
      </c>
      <c r="K185" s="2" t="s">
        <v>75</v>
      </c>
      <c r="L185" s="2" t="s">
        <v>75</v>
      </c>
      <c r="M185" s="54" t="s">
        <v>432</v>
      </c>
      <c r="N185" s="52">
        <v>0.33333333333333331</v>
      </c>
      <c r="O185" s="52">
        <v>0.45833333333333331</v>
      </c>
      <c r="P185" s="69">
        <f t="shared" si="51"/>
        <v>3</v>
      </c>
      <c r="Q185" s="2">
        <v>3</v>
      </c>
      <c r="R185" s="57" t="str">
        <f>Q185&amp;L185&amp;A185</f>
        <v>3EDMIBerrechid</v>
      </c>
      <c r="S185" s="72">
        <f>IF(P185="","",P185/VLOOKUP(R185,'Matrice Productivité '!I:J,2,FALSE)/100)</f>
        <v>2.3243801652892558E-3</v>
      </c>
      <c r="T185" s="97" t="s">
        <v>443</v>
      </c>
      <c r="U185" s="97" t="s">
        <v>434</v>
      </c>
      <c r="V185" s="63" t="s">
        <v>52</v>
      </c>
      <c r="W185" s="2" t="s">
        <v>436</v>
      </c>
      <c r="X185" s="2" t="s">
        <v>437</v>
      </c>
    </row>
    <row r="186" spans="1:25" ht="30">
      <c r="A186" s="53" t="s">
        <v>367</v>
      </c>
      <c r="B186" s="54" t="s">
        <v>105</v>
      </c>
      <c r="C186" s="39">
        <v>46050</v>
      </c>
      <c r="D186" s="55" t="str">
        <f t="shared" si="59"/>
        <v>2026-S05</v>
      </c>
      <c r="E186" s="56" t="str">
        <f>YEAR(C186)&amp;"-M0"&amp;MONTH(C186)</f>
        <v>2026-M01</v>
      </c>
      <c r="F186" s="55">
        <f>YEAR(C186)</f>
        <v>2026</v>
      </c>
      <c r="G186" s="2" t="s">
        <v>441</v>
      </c>
      <c r="H186" s="54" t="s">
        <v>99</v>
      </c>
      <c r="I186" s="2" t="s">
        <v>129</v>
      </c>
      <c r="J186" s="2" t="s">
        <v>130</v>
      </c>
      <c r="K186" s="2" t="s">
        <v>75</v>
      </c>
      <c r="L186" s="2" t="s">
        <v>75</v>
      </c>
      <c r="M186" s="54" t="s">
        <v>432</v>
      </c>
      <c r="N186" s="52">
        <v>0.58333333333333337</v>
      </c>
      <c r="O186" s="52">
        <v>0.75</v>
      </c>
      <c r="P186" s="69">
        <f t="shared" si="51"/>
        <v>3.9999999999999991</v>
      </c>
      <c r="Q186" s="2">
        <v>3</v>
      </c>
      <c r="R186" s="57" t="str">
        <f>Q186&amp;L186&amp;A186</f>
        <v>3EDMIBerrechid</v>
      </c>
      <c r="S186" s="72">
        <f>IF(P186="","",P186/VLOOKUP(R186,'Matrice Productivité '!I:J,2,FALSE)/100)</f>
        <v>3.0991735537190075E-3</v>
      </c>
      <c r="T186" s="75" t="s">
        <v>88</v>
      </c>
      <c r="U186" s="24" t="s">
        <v>444</v>
      </c>
      <c r="V186" s="74" t="s">
        <v>90</v>
      </c>
      <c r="W186" s="2" t="s">
        <v>91</v>
      </c>
    </row>
    <row r="187" spans="1:25" ht="45">
      <c r="A187" s="53" t="s">
        <v>367</v>
      </c>
      <c r="B187" s="54" t="s">
        <v>105</v>
      </c>
      <c r="C187" s="39">
        <v>46050</v>
      </c>
      <c r="D187" s="55" t="str">
        <f t="shared" si="59"/>
        <v>2026-S05</v>
      </c>
      <c r="E187" s="56" t="str">
        <f>YEAR(C187)&amp;"-M0"&amp;MONTH(C187)</f>
        <v>2026-M01</v>
      </c>
      <c r="F187" s="55">
        <f>YEAR(C187)</f>
        <v>2026</v>
      </c>
      <c r="G187" s="2" t="s">
        <v>106</v>
      </c>
      <c r="H187" s="54" t="s">
        <v>99</v>
      </c>
      <c r="I187" s="2" t="s">
        <v>445</v>
      </c>
      <c r="J187" s="2" t="s">
        <v>446</v>
      </c>
      <c r="K187" s="2" t="s">
        <v>447</v>
      </c>
      <c r="L187" s="2" t="s">
        <v>48</v>
      </c>
      <c r="M187" s="54" t="s">
        <v>448</v>
      </c>
      <c r="N187" s="52">
        <v>0.86111111111111116</v>
      </c>
      <c r="O187" s="52">
        <v>0.91666666666666663</v>
      </c>
      <c r="P187" s="69">
        <f t="shared" si="51"/>
        <v>1.3333333333333313</v>
      </c>
      <c r="Q187" s="2">
        <v>2</v>
      </c>
      <c r="R187" s="57" t="str">
        <f>Q187&amp;L187&amp;A187</f>
        <v>2LE RESTEBerrechid</v>
      </c>
      <c r="S187" s="72">
        <f>IF(P187="","",P187/VLOOKUP(R187,'Matrice Productivité '!I:J,2,FALSE)/100)</f>
        <v>5.1652892561983386E-4</v>
      </c>
      <c r="T187" s="75" t="s">
        <v>449</v>
      </c>
      <c r="U187" s="24" t="s">
        <v>450</v>
      </c>
      <c r="V187" s="74" t="s">
        <v>90</v>
      </c>
      <c r="W187" s="2" t="s">
        <v>91</v>
      </c>
    </row>
    <row r="188" spans="1:25" ht="24.75" customHeight="1">
      <c r="A188" s="63" t="s">
        <v>24</v>
      </c>
      <c r="B188" s="63" t="s">
        <v>25</v>
      </c>
      <c r="C188" s="82">
        <v>46051</v>
      </c>
      <c r="D188" s="65" t="str">
        <f t="shared" si="59"/>
        <v>2026-S05</v>
      </c>
      <c r="E188" s="66" t="str">
        <f t="shared" ref="E188:E189" si="60">YEAR(C188)&amp;"-M0"&amp;MONTH(C188)</f>
        <v>2026-M01</v>
      </c>
      <c r="F188" s="65">
        <f t="shared" ref="F188:F189" si="61">YEAR(C188)</f>
        <v>2026</v>
      </c>
      <c r="G188" s="83" t="s">
        <v>26</v>
      </c>
      <c r="H188" s="83" t="s">
        <v>27</v>
      </c>
      <c r="I188" s="83" t="s">
        <v>45</v>
      </c>
      <c r="J188" s="83" t="s">
        <v>341</v>
      </c>
      <c r="K188" s="83" t="s">
        <v>30</v>
      </c>
      <c r="L188" s="83" t="s">
        <v>30</v>
      </c>
      <c r="M188" s="83">
        <v>5012</v>
      </c>
      <c r="N188" s="68">
        <v>0.35416666666666607</v>
      </c>
      <c r="O188" s="68">
        <v>0.5625</v>
      </c>
      <c r="P188" s="69">
        <f t="shared" ref="P188" si="62">(O188-N188)*24</f>
        <v>5.0000000000000142</v>
      </c>
      <c r="Q188" s="84">
        <v>1</v>
      </c>
      <c r="R188" s="71" t="str">
        <f t="shared" ref="R188" si="63">Q188&amp;L188&amp;A188</f>
        <v>1ABBTEMARA</v>
      </c>
      <c r="S188" s="72">
        <f>IF(P188="","",P188/VLOOKUP(R188,'Matrice Productivité '!I:J,2,FALSE)/100)</f>
        <v>8.712671775898545E-3</v>
      </c>
      <c r="T188" s="86" t="s">
        <v>110</v>
      </c>
      <c r="U188" s="98" t="s">
        <v>451</v>
      </c>
      <c r="V188" s="99" t="s">
        <v>33</v>
      </c>
      <c r="W188" s="36" t="s">
        <v>439</v>
      </c>
    </row>
    <row r="189" spans="1:25" ht="30">
      <c r="A189" s="53" t="s">
        <v>367</v>
      </c>
      <c r="B189" s="2" t="s">
        <v>70</v>
      </c>
      <c r="C189" s="82">
        <v>46052</v>
      </c>
      <c r="D189" s="65" t="str">
        <f t="shared" si="59"/>
        <v>2026-S05</v>
      </c>
      <c r="E189" s="66" t="str">
        <f t="shared" si="60"/>
        <v>2026-M01</v>
      </c>
      <c r="F189" s="65">
        <f t="shared" si="61"/>
        <v>2026</v>
      </c>
      <c r="G189" s="2" t="s">
        <v>156</v>
      </c>
      <c r="H189" s="2" t="s">
        <v>72</v>
      </c>
      <c r="I189" s="2" t="s">
        <v>452</v>
      </c>
      <c r="J189" s="2" t="s">
        <v>404</v>
      </c>
      <c r="K189" s="2" t="s">
        <v>75</v>
      </c>
      <c r="L189" s="2" t="s">
        <v>75</v>
      </c>
      <c r="M189" s="54" t="s">
        <v>432</v>
      </c>
      <c r="N189" s="52">
        <v>0.25</v>
      </c>
      <c r="O189" s="52">
        <v>0.37777777777777777</v>
      </c>
      <c r="P189" s="107">
        <f>(O189-N189)*24</f>
        <v>3.0666666666666664</v>
      </c>
      <c r="Q189" s="2">
        <v>3</v>
      </c>
      <c r="R189" s="71" t="str">
        <f>Q189&amp;L189&amp;A189</f>
        <v>3EDMIBerrechid</v>
      </c>
      <c r="S189" s="72">
        <f>IF(P189="","",P189/VLOOKUP(R189,'Matrice Productivité '!I:J,2,FALSE)/100)</f>
        <v>2.376033057851239E-3</v>
      </c>
      <c r="T189" s="86" t="s">
        <v>449</v>
      </c>
      <c r="U189" s="24" t="s">
        <v>453</v>
      </c>
      <c r="V189" s="54" t="s">
        <v>90</v>
      </c>
      <c r="W189" s="2" t="s">
        <v>186</v>
      </c>
      <c r="X189" s="2" t="s">
        <v>454</v>
      </c>
    </row>
  </sheetData>
  <autoFilter ref="A1:W189"/>
  <dataValidations count="1">
    <dataValidation type="list" allowBlank="1" sqref="M139">
      <formula1>"ES010BA310,ES010BAXAA,ES010BA208,ES010BAP10,ES010BAQ10,ES010BAT10,ES010CUD00,ES010BAR10,ES010BAV10,ES010BAXAA_REP,EDMES010BA208,EDMES010BAU10"</formula1>
    </dataValidation>
  </dataValidations>
  <printOptions horizontalCentered="1"/>
  <pageMargins left="0" right="0" top="0.59055118110236227" bottom="0" header="0.39370078740157483" footer="0"/>
  <pageSetup paperSize="9" scale="82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'Liste figée'!$C$1:$C$2</xm:f>
          </x14:formula1>
          <xm:sqref>B117 B127:B131 B120:B124 B138:B141 B143:B145 B15:B103 B149 B147 B151:B166 B168:B189</xm:sqref>
        </x14:dataValidation>
        <x14:dataValidation type="list" allowBlank="1" showInputMessage="1" showErrorMessage="1">
          <x14:formula1>
            <xm:f>'Liste figée'!$A$1:$A$3</xm:f>
          </x14:formula1>
          <xm:sqref>H15:H94 H168 H162:H165 H180:H181 H189 H185:H187</xm:sqref>
        </x14:dataValidation>
        <x14:dataValidation type="list" allowBlank="1" showInputMessage="1" showErrorMessage="1">
          <x14:formula1>
            <xm:f>'Liste figée'!$D$1:$D$28</xm:f>
          </x14:formula1>
          <xm:sqref>G139:G141 G99 G147:G149 G15:G51 G143:G145 G151:G159 G162:G165 G53:G96 G168:G184 G187:G189</xm:sqref>
        </x14:dataValidation>
        <x14:dataValidation type="list" allowBlank="1" showInputMessage="1" showErrorMessage="1">
          <x14:formula1>
            <xm:f>'Liste figée'!$B$1:$B$2</xm:f>
          </x14:formula1>
          <xm:sqref>A117 A127:A131 A120:A124 A138:A141 A143:A145 A15:A103 A149 A147 A151:A166 A168:A189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zoomScale="70" zoomScaleNormal="70" workbookViewId="0">
      <selection activeCell="E13" sqref="E13"/>
    </sheetView>
  </sheetViews>
  <sheetFormatPr defaultColWidth="8.85546875" defaultRowHeight="15"/>
  <cols>
    <col min="2" max="2" width="12" customWidth="1"/>
    <col min="3" max="3" width="10.85546875" customWidth="1"/>
    <col min="4" max="4" width="25.85546875" customWidth="1"/>
    <col min="5" max="5" width="48.140625" customWidth="1"/>
    <col min="8" max="8" width="26.140625" customWidth="1"/>
    <col min="9" max="9" width="18.28515625" customWidth="1"/>
    <col min="10" max="10" width="13.140625" customWidth="1"/>
    <col min="16" max="16" width="11.28515625" bestFit="1" customWidth="1"/>
  </cols>
  <sheetData>
    <row r="1" spans="1:17" s="10" customFormat="1" ht="63.75" customHeight="1">
      <c r="A1" s="5" t="s">
        <v>0</v>
      </c>
      <c r="B1" s="6" t="s">
        <v>10</v>
      </c>
      <c r="C1" s="7" t="s">
        <v>16</v>
      </c>
      <c r="D1" s="7" t="s">
        <v>455</v>
      </c>
      <c r="E1" s="7" t="s">
        <v>456</v>
      </c>
      <c r="F1" s="8" t="s">
        <v>457</v>
      </c>
      <c r="G1" s="9">
        <v>0.01</v>
      </c>
      <c r="H1" s="8" t="s">
        <v>458</v>
      </c>
      <c r="I1" s="8" t="s">
        <v>17</v>
      </c>
      <c r="J1" s="8" t="s">
        <v>459</v>
      </c>
      <c r="P1" s="10" t="e">
        <f>MOD(A2+(B2/24), 1)</f>
        <v>#VALUE!</v>
      </c>
      <c r="Q1" s="10" t="str">
        <f>IF(O5="","",(O5-N5)*24)</f>
        <v/>
      </c>
    </row>
    <row r="2" spans="1:17" ht="19.5" customHeight="1">
      <c r="A2" s="3" t="s">
        <v>460</v>
      </c>
      <c r="B2" s="1" t="s">
        <v>30</v>
      </c>
      <c r="C2" s="1">
        <v>1</v>
      </c>
      <c r="D2" s="1">
        <v>2321</v>
      </c>
      <c r="E2" s="1">
        <f>43*176</f>
        <v>7568</v>
      </c>
      <c r="F2" s="11">
        <f>D2/E2</f>
        <v>0.3066860465116279</v>
      </c>
      <c r="G2" s="11">
        <v>0.01</v>
      </c>
      <c r="H2" s="12">
        <v>176</v>
      </c>
      <c r="I2" s="12" t="str">
        <f>C2&amp;B2&amp;A2</f>
        <v>1ABBTemara</v>
      </c>
      <c r="J2" s="13">
        <f>H2/F2/100</f>
        <v>5.7387677725118484</v>
      </c>
    </row>
    <row r="3" spans="1:17" ht="19.5" customHeight="1">
      <c r="A3" s="3" t="s">
        <v>460</v>
      </c>
      <c r="B3" s="1" t="s">
        <v>461</v>
      </c>
      <c r="C3" s="1">
        <v>1</v>
      </c>
      <c r="D3" s="1">
        <v>1108</v>
      </c>
      <c r="E3" s="1">
        <f>43*176</f>
        <v>7568</v>
      </c>
      <c r="F3" s="11">
        <f t="shared" ref="F3" si="0">D3/E3</f>
        <v>0.14640591966173361</v>
      </c>
      <c r="G3" s="11">
        <v>0.01</v>
      </c>
      <c r="H3" s="12">
        <v>176</v>
      </c>
      <c r="I3" s="12" t="str">
        <f t="shared" ref="I3:I10" si="1">C3&amp;B3&amp;A3</f>
        <v>1LeclanchéTemara</v>
      </c>
      <c r="J3" s="13">
        <f>H3/F3/100</f>
        <v>12.021371841155235</v>
      </c>
    </row>
    <row r="4" spans="1:17" ht="19.5" customHeight="1">
      <c r="A4" s="3" t="s">
        <v>460</v>
      </c>
      <c r="B4" s="1" t="s">
        <v>462</v>
      </c>
      <c r="C4" s="1">
        <v>1</v>
      </c>
      <c r="D4" s="1">
        <v>255</v>
      </c>
      <c r="E4" s="1">
        <f>43*176</f>
        <v>7568</v>
      </c>
      <c r="F4" s="11">
        <f>D4/E4</f>
        <v>3.3694503171247357E-2</v>
      </c>
      <c r="G4" s="11">
        <v>0.01</v>
      </c>
      <c r="H4" s="12">
        <v>176</v>
      </c>
      <c r="I4" s="12" t="str">
        <f t="shared" si="1"/>
        <v>1SoluscopeTemara</v>
      </c>
      <c r="J4" s="13">
        <f>H4/F4/100</f>
        <v>52.234039215686273</v>
      </c>
    </row>
    <row r="5" spans="1:17" ht="19.5" customHeight="1">
      <c r="A5" s="3" t="s">
        <v>460</v>
      </c>
      <c r="B5" s="1" t="s">
        <v>463</v>
      </c>
      <c r="C5" s="1">
        <v>1</v>
      </c>
      <c r="D5" s="1">
        <v>489</v>
      </c>
      <c r="E5" s="1">
        <f>43*176</f>
        <v>7568</v>
      </c>
      <c r="F5" s="11">
        <f t="shared" ref="F5:F6" si="2">D5/E5</f>
        <v>6.4614164904862575E-2</v>
      </c>
      <c r="G5" s="11">
        <v>0.01</v>
      </c>
      <c r="H5" s="12">
        <v>176</v>
      </c>
      <c r="I5" s="12" t="str">
        <f t="shared" si="1"/>
        <v>1AlstomTemara</v>
      </c>
      <c r="J5" s="13">
        <f>H5/F5/100</f>
        <v>27.238609406952968</v>
      </c>
    </row>
    <row r="6" spans="1:17" ht="19.5" customHeight="1">
      <c r="A6" s="3" t="s">
        <v>460</v>
      </c>
      <c r="B6" s="1" t="s">
        <v>11</v>
      </c>
      <c r="C6" s="1">
        <v>1</v>
      </c>
      <c r="D6" s="1">
        <v>2888</v>
      </c>
      <c r="E6" s="1">
        <f>43*176</f>
        <v>7568</v>
      </c>
      <c r="F6" s="11">
        <f t="shared" si="2"/>
        <v>0.38160676532769555</v>
      </c>
      <c r="G6" s="11">
        <v>0.01</v>
      </c>
      <c r="H6" s="12">
        <v>176</v>
      </c>
      <c r="I6" s="12" t="str">
        <f t="shared" si="1"/>
        <v>1Le resteTemara</v>
      </c>
      <c r="J6" s="13">
        <f>H6/F6/100</f>
        <v>4.6120775623268706</v>
      </c>
    </row>
    <row r="7" spans="1:17" ht="19.5" customHeight="1">
      <c r="A7" s="3" t="s">
        <v>367</v>
      </c>
      <c r="B7" s="1" t="s">
        <v>75</v>
      </c>
      <c r="C7" s="1">
        <v>3</v>
      </c>
      <c r="D7" s="1">
        <v>3000</v>
      </c>
      <c r="E7" s="1">
        <v>22000</v>
      </c>
      <c r="F7" s="11">
        <f t="shared" ref="F7:F9" si="3">D7/E7</f>
        <v>0.13636363636363635</v>
      </c>
      <c r="G7" s="11">
        <v>0.01</v>
      </c>
      <c r="H7" s="12">
        <v>176</v>
      </c>
      <c r="I7" s="12" t="str">
        <f t="shared" si="1"/>
        <v>3EDMIBerrechid</v>
      </c>
      <c r="J7" s="13">
        <f t="shared" ref="J7:J9" si="4">H7/F7/100</f>
        <v>12.906666666666668</v>
      </c>
      <c r="K7">
        <v>38</v>
      </c>
      <c r="L7">
        <f>K7/J7</f>
        <v>2.9442148760330573</v>
      </c>
    </row>
    <row r="8" spans="1:17" ht="19.5" customHeight="1">
      <c r="A8" s="3" t="s">
        <v>367</v>
      </c>
      <c r="B8" s="1" t="s">
        <v>108</v>
      </c>
      <c r="C8" s="1">
        <v>2</v>
      </c>
      <c r="D8" s="1">
        <v>720</v>
      </c>
      <c r="E8" s="1">
        <v>22000</v>
      </c>
      <c r="F8" s="11">
        <f t="shared" si="3"/>
        <v>3.272727272727273E-2</v>
      </c>
      <c r="G8" s="11">
        <v>0.01</v>
      </c>
      <c r="H8" s="12">
        <v>176</v>
      </c>
      <c r="I8" s="12" t="str">
        <f t="shared" si="1"/>
        <v>2EMSBerrechid</v>
      </c>
      <c r="J8" s="13">
        <f t="shared" si="4"/>
        <v>53.777777777777771</v>
      </c>
    </row>
    <row r="9" spans="1:17" ht="19.5" customHeight="1">
      <c r="A9" s="18" t="s">
        <v>367</v>
      </c>
      <c r="B9" s="14" t="s">
        <v>464</v>
      </c>
      <c r="C9" s="14">
        <v>2</v>
      </c>
      <c r="D9" s="14">
        <v>320</v>
      </c>
      <c r="E9" s="14">
        <v>22000</v>
      </c>
      <c r="F9" s="19">
        <f t="shared" si="3"/>
        <v>1.4545454545454545E-2</v>
      </c>
      <c r="G9" s="19">
        <v>0.01</v>
      </c>
      <c r="H9" s="20">
        <v>176</v>
      </c>
      <c r="I9" s="12" t="str">
        <f t="shared" si="1"/>
        <v>2SOWEEBerrechid</v>
      </c>
      <c r="J9" s="21">
        <f t="shared" si="4"/>
        <v>121</v>
      </c>
    </row>
    <row r="10" spans="1:17" ht="28.5">
      <c r="A10" s="1" t="s">
        <v>367</v>
      </c>
      <c r="B10" s="1" t="s">
        <v>11</v>
      </c>
      <c r="C10" s="1">
        <v>2</v>
      </c>
      <c r="D10" s="1">
        <v>1500</v>
      </c>
      <c r="E10" s="1">
        <v>22000</v>
      </c>
      <c r="F10" s="11">
        <f t="shared" ref="F10" si="5">D10/E10</f>
        <v>6.8181818181818177E-2</v>
      </c>
      <c r="G10" s="11">
        <v>0.01</v>
      </c>
      <c r="H10" s="12">
        <v>176</v>
      </c>
      <c r="I10" s="12" t="str">
        <f t="shared" si="1"/>
        <v>2Le resteBerrechid</v>
      </c>
      <c r="J10" s="13">
        <f t="shared" ref="J10" si="6">H10/F10/100</f>
        <v>25.813333333333336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26"/>
  <sheetViews>
    <sheetView topLeftCell="A3" workbookViewId="0">
      <selection activeCell="B9" sqref="B9"/>
    </sheetView>
  </sheetViews>
  <sheetFormatPr defaultColWidth="8.85546875" defaultRowHeight="15"/>
  <cols>
    <col min="1" max="1" width="38.140625" bestFit="1" customWidth="1"/>
    <col min="2" max="2" width="22.28515625" bestFit="1" customWidth="1"/>
    <col min="3" max="3" width="14.28515625" bestFit="1" customWidth="1"/>
    <col min="4" max="4" width="13.85546875" bestFit="1" customWidth="1"/>
    <col min="5" max="5" width="7.42578125" bestFit="1" customWidth="1"/>
    <col min="6" max="6" width="3.7109375" bestFit="1" customWidth="1"/>
    <col min="7" max="7" width="6.7109375" bestFit="1" customWidth="1"/>
    <col min="8" max="8" width="11.5703125" bestFit="1" customWidth="1"/>
    <col min="9" max="9" width="11.85546875" bestFit="1" customWidth="1"/>
    <col min="10" max="10" width="10.85546875" bestFit="1" customWidth="1"/>
    <col min="11" max="11" width="13.85546875" bestFit="1" customWidth="1"/>
    <col min="12" max="12" width="7.42578125" bestFit="1" customWidth="1"/>
    <col min="13" max="13" width="11.5703125" bestFit="1" customWidth="1"/>
    <col min="14" max="14" width="13.28515625" bestFit="1" customWidth="1"/>
    <col min="15" max="15" width="14.28515625" bestFit="1" customWidth="1"/>
    <col min="16" max="16" width="10.85546875" bestFit="1" customWidth="1"/>
    <col min="17" max="17" width="7.42578125" bestFit="1" customWidth="1"/>
    <col min="18" max="18" width="13.85546875" bestFit="1" customWidth="1"/>
    <col min="19" max="19" width="3.7109375" bestFit="1" customWidth="1"/>
    <col min="20" max="20" width="6.7109375" bestFit="1" customWidth="1"/>
    <col min="21" max="21" width="13.28515625" bestFit="1" customWidth="1"/>
    <col min="22" max="22" width="11.85546875" bestFit="1" customWidth="1"/>
    <col min="23" max="23" width="13.7109375" bestFit="1" customWidth="1"/>
    <col min="24" max="24" width="16.28515625" bestFit="1" customWidth="1"/>
    <col min="25" max="25" width="11.85546875" bestFit="1" customWidth="1"/>
  </cols>
  <sheetData>
    <row r="2" spans="1:25">
      <c r="A2" s="45" t="s">
        <v>3</v>
      </c>
      <c r="B2" s="46" t="s">
        <v>465</v>
      </c>
    </row>
    <row r="4" spans="1:25" ht="15.75">
      <c r="A4" s="29" t="s">
        <v>466</v>
      </c>
      <c r="B4" s="30" t="s">
        <v>467</v>
      </c>
    </row>
    <row r="5" spans="1:25" s="25" customFormat="1">
      <c r="A5" s="40" t="s">
        <v>33</v>
      </c>
      <c r="B5" s="26">
        <v>76.783333333333331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1:25" s="25" customFormat="1" ht="15.75">
      <c r="A6" s="43" t="s">
        <v>69</v>
      </c>
      <c r="B6" s="28">
        <v>47.949999999999982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1:25" s="25" customFormat="1">
      <c r="A7" s="47" t="s">
        <v>383</v>
      </c>
      <c r="B7" s="26">
        <v>17.5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1:25" s="25" customFormat="1">
      <c r="A8" s="47" t="s">
        <v>257</v>
      </c>
      <c r="B8" s="26">
        <v>8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1:25">
      <c r="A9" s="47" t="s">
        <v>363</v>
      </c>
      <c r="B9" s="26">
        <v>7.9999999999999982</v>
      </c>
    </row>
    <row r="10" spans="1:25">
      <c r="A10" s="47" t="s">
        <v>266</v>
      </c>
      <c r="B10" s="26">
        <v>5.333333333333333</v>
      </c>
    </row>
    <row r="11" spans="1:25">
      <c r="A11" s="47" t="s">
        <v>414</v>
      </c>
      <c r="B11" s="26">
        <v>1.9166666666666679</v>
      </c>
    </row>
    <row r="12" spans="1:25">
      <c r="A12" s="47" t="s">
        <v>272</v>
      </c>
      <c r="B12" s="26">
        <v>1.8499999999999988</v>
      </c>
    </row>
    <row r="13" spans="1:25">
      <c r="A13" s="47" t="s">
        <v>261</v>
      </c>
      <c r="B13" s="26">
        <v>1.0166666666666671</v>
      </c>
    </row>
    <row r="14" spans="1:25">
      <c r="A14" s="47" t="s">
        <v>279</v>
      </c>
      <c r="B14" s="26">
        <v>1.0000000000000018</v>
      </c>
    </row>
    <row r="15" spans="1:25">
      <c r="A15" s="47" t="s">
        <v>376</v>
      </c>
      <c r="B15" s="26">
        <v>0.99999999999999911</v>
      </c>
    </row>
    <row r="16" spans="1:25">
      <c r="A16" s="47" t="s">
        <v>352</v>
      </c>
      <c r="B16" s="26">
        <v>0.91666666666666741</v>
      </c>
    </row>
    <row r="17" spans="1:2">
      <c r="A17" s="47" t="s">
        <v>330</v>
      </c>
      <c r="B17" s="26">
        <v>0.66666666666666696</v>
      </c>
    </row>
    <row r="18" spans="1:2">
      <c r="A18" s="47" t="s">
        <v>369</v>
      </c>
      <c r="B18" s="26">
        <v>0.41666666666666652</v>
      </c>
    </row>
    <row r="19" spans="1:2">
      <c r="A19" s="47" t="s">
        <v>264</v>
      </c>
      <c r="B19" s="26">
        <v>0.33333333333333215</v>
      </c>
    </row>
    <row r="20" spans="1:2">
      <c r="A20" s="42" t="s">
        <v>24</v>
      </c>
      <c r="B20" s="26">
        <v>28.833333333333343</v>
      </c>
    </row>
    <row r="21" spans="1:2">
      <c r="A21" s="47" t="s">
        <v>110</v>
      </c>
      <c r="B21" s="26">
        <v>17.670000000000002</v>
      </c>
    </row>
    <row r="22" spans="1:2">
      <c r="A22" s="47" t="s">
        <v>355</v>
      </c>
      <c r="B22" s="26">
        <v>7.83</v>
      </c>
    </row>
    <row r="23" spans="1:2">
      <c r="A23" s="47" t="s">
        <v>358</v>
      </c>
      <c r="B23" s="26">
        <v>1.9999999999999996</v>
      </c>
    </row>
    <row r="24" spans="1:2">
      <c r="A24" s="47" t="s">
        <v>319</v>
      </c>
      <c r="B24" s="26">
        <v>1.0000000000000004</v>
      </c>
    </row>
    <row r="25" spans="1:2">
      <c r="A25" s="47" t="s">
        <v>354</v>
      </c>
      <c r="B25" s="26">
        <v>0.33333333333334281</v>
      </c>
    </row>
    <row r="26" spans="1:2" ht="15.75">
      <c r="A26" s="31" t="s">
        <v>468</v>
      </c>
      <c r="B26" s="26">
        <v>76.783333333333331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topLeftCell="A3" workbookViewId="0">
      <selection activeCell="A5" sqref="A5"/>
    </sheetView>
  </sheetViews>
  <sheetFormatPr defaultColWidth="8.85546875" defaultRowHeight="15"/>
  <cols>
    <col min="1" max="1" width="26.140625" bestFit="1" customWidth="1"/>
    <col min="2" max="2" width="22.28515625" bestFit="1" customWidth="1"/>
    <col min="3" max="3" width="14.28515625" bestFit="1" customWidth="1"/>
    <col min="4" max="4" width="13.85546875" bestFit="1" customWidth="1"/>
    <col min="5" max="5" width="7.42578125" bestFit="1" customWidth="1"/>
    <col min="6" max="6" width="3.7109375" bestFit="1" customWidth="1"/>
    <col min="7" max="7" width="6.7109375" bestFit="1" customWidth="1"/>
    <col min="8" max="8" width="11.5703125" bestFit="1" customWidth="1"/>
    <col min="9" max="9" width="11.85546875" bestFit="1" customWidth="1"/>
    <col min="10" max="10" width="10.85546875" bestFit="1" customWidth="1"/>
    <col min="11" max="11" width="13.85546875" bestFit="1" customWidth="1"/>
    <col min="12" max="12" width="7.42578125" bestFit="1" customWidth="1"/>
    <col min="13" max="13" width="11.5703125" bestFit="1" customWidth="1"/>
    <col min="14" max="14" width="13.28515625" bestFit="1" customWidth="1"/>
    <col min="15" max="15" width="14.28515625" bestFit="1" customWidth="1"/>
    <col min="16" max="16" width="10.85546875" bestFit="1" customWidth="1"/>
    <col min="17" max="17" width="7.42578125" bestFit="1" customWidth="1"/>
    <col min="18" max="18" width="13.85546875" bestFit="1" customWidth="1"/>
    <col min="19" max="19" width="3.7109375" bestFit="1" customWidth="1"/>
    <col min="20" max="20" width="6.7109375" bestFit="1" customWidth="1"/>
    <col min="21" max="21" width="13.28515625" bestFit="1" customWidth="1"/>
    <col min="22" max="22" width="11.85546875" bestFit="1" customWidth="1"/>
    <col min="23" max="23" width="13.7109375" bestFit="1" customWidth="1"/>
    <col min="24" max="24" width="16.28515625" bestFit="1" customWidth="1"/>
    <col min="25" max="25" width="11.85546875" bestFit="1" customWidth="1"/>
  </cols>
  <sheetData>
    <row r="1" spans="1:25">
      <c r="A1" s="45" t="s">
        <v>3</v>
      </c>
      <c r="B1" s="46" t="s">
        <v>465</v>
      </c>
    </row>
    <row r="3" spans="1:25" ht="15.75">
      <c r="A3" s="29" t="s">
        <v>466</v>
      </c>
      <c r="B3" s="30" t="s">
        <v>467</v>
      </c>
    </row>
    <row r="4" spans="1:25">
      <c r="A4" s="40" t="s">
        <v>407</v>
      </c>
      <c r="B4" s="26">
        <v>348.34000000000015</v>
      </c>
    </row>
    <row r="5" spans="1:25" s="25" customFormat="1">
      <c r="A5" s="42" t="s">
        <v>52</v>
      </c>
      <c r="B5" s="26">
        <v>114.67333333333339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1:25" s="25" customFormat="1" ht="15.75">
      <c r="A6" s="48" t="s">
        <v>69</v>
      </c>
      <c r="B6" s="28">
        <v>44.183333333333337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1:25" s="25" customFormat="1">
      <c r="A7" s="47" t="s">
        <v>24</v>
      </c>
      <c r="B7" s="26">
        <v>70.490000000000052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1:25" s="25" customFormat="1">
      <c r="A8" s="42" t="s">
        <v>296</v>
      </c>
      <c r="B8" s="26">
        <v>83.833333333333385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1:25" ht="15.75">
      <c r="A9" s="48" t="s">
        <v>69</v>
      </c>
      <c r="B9" s="28">
        <v>3</v>
      </c>
    </row>
    <row r="10" spans="1:25">
      <c r="A10" s="47" t="s">
        <v>24</v>
      </c>
      <c r="B10" s="26">
        <v>80.833333333333385</v>
      </c>
    </row>
    <row r="11" spans="1:25">
      <c r="A11" s="42" t="s">
        <v>33</v>
      </c>
      <c r="B11" s="26">
        <v>76.783333333333346</v>
      </c>
    </row>
    <row r="12" spans="1:25" ht="15.75">
      <c r="A12" s="48" t="s">
        <v>69</v>
      </c>
      <c r="B12" s="28">
        <v>47.95</v>
      </c>
    </row>
    <row r="13" spans="1:25">
      <c r="A13" s="47" t="s">
        <v>24</v>
      </c>
      <c r="B13" s="26">
        <v>28.833333333333343</v>
      </c>
    </row>
    <row r="14" spans="1:25">
      <c r="A14" s="42" t="s">
        <v>90</v>
      </c>
      <c r="B14" s="26">
        <v>66.300000000000011</v>
      </c>
    </row>
    <row r="15" spans="1:25" ht="15.75">
      <c r="A15" s="48" t="s">
        <v>69</v>
      </c>
      <c r="B15" s="28">
        <v>58.300000000000004</v>
      </c>
    </row>
    <row r="16" spans="1:25">
      <c r="A16" s="47" t="s">
        <v>24</v>
      </c>
      <c r="B16" s="26">
        <v>8.0000000000000142</v>
      </c>
    </row>
    <row r="17" spans="1:2">
      <c r="A17" s="42" t="s">
        <v>59</v>
      </c>
      <c r="B17" s="26">
        <v>5</v>
      </c>
    </row>
    <row r="18" spans="1:2" ht="15.75">
      <c r="A18" s="48" t="s">
        <v>69</v>
      </c>
      <c r="B18" s="28">
        <v>5</v>
      </c>
    </row>
    <row r="19" spans="1:2">
      <c r="A19" s="42" t="s">
        <v>411</v>
      </c>
      <c r="B19" s="26">
        <v>0.99999999999999911</v>
      </c>
    </row>
    <row r="20" spans="1:2" ht="15.75">
      <c r="A20" s="48" t="s">
        <v>69</v>
      </c>
      <c r="B20" s="28">
        <v>0.99999999999999911</v>
      </c>
    </row>
    <row r="21" spans="1:2">
      <c r="A21" s="42" t="s">
        <v>141</v>
      </c>
      <c r="B21" s="26">
        <v>0.75</v>
      </c>
    </row>
    <row r="22" spans="1:2" ht="15.75">
      <c r="A22" s="48" t="s">
        <v>69</v>
      </c>
      <c r="B22" s="28">
        <v>0.75</v>
      </c>
    </row>
    <row r="23" spans="1:2" ht="15.75">
      <c r="A23" s="31" t="s">
        <v>468</v>
      </c>
      <c r="B23" s="26">
        <v>348.34000000000015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Y13"/>
  <sheetViews>
    <sheetView topLeftCell="A3" workbookViewId="0">
      <selection activeCell="B5" sqref="B5"/>
    </sheetView>
  </sheetViews>
  <sheetFormatPr defaultColWidth="8.85546875" defaultRowHeight="15"/>
  <cols>
    <col min="1" max="1" width="23.140625" bestFit="1" customWidth="1"/>
    <col min="2" max="2" width="22" bestFit="1" customWidth="1"/>
    <col min="3" max="3" width="14.28515625" bestFit="1" customWidth="1"/>
    <col min="4" max="4" width="13.85546875" bestFit="1" customWidth="1"/>
    <col min="5" max="5" width="7.42578125" bestFit="1" customWidth="1"/>
    <col min="6" max="6" width="3.7109375" bestFit="1" customWidth="1"/>
    <col min="7" max="7" width="6.7109375" bestFit="1" customWidth="1"/>
    <col min="8" max="8" width="11.5703125" bestFit="1" customWidth="1"/>
    <col min="9" max="9" width="11.85546875" bestFit="1" customWidth="1"/>
    <col min="10" max="10" width="10.85546875" bestFit="1" customWidth="1"/>
    <col min="11" max="11" width="13.85546875" bestFit="1" customWidth="1"/>
    <col min="12" max="12" width="7.42578125" bestFit="1" customWidth="1"/>
    <col min="13" max="13" width="11.5703125" bestFit="1" customWidth="1"/>
    <col min="14" max="14" width="13.28515625" bestFit="1" customWidth="1"/>
    <col min="15" max="15" width="14.28515625" bestFit="1" customWidth="1"/>
    <col min="16" max="16" width="10.85546875" bestFit="1" customWidth="1"/>
    <col min="17" max="17" width="7.42578125" bestFit="1" customWidth="1"/>
    <col min="18" max="18" width="13.85546875" bestFit="1" customWidth="1"/>
    <col min="19" max="19" width="3.7109375" bestFit="1" customWidth="1"/>
    <col min="20" max="20" width="6.7109375" bestFit="1" customWidth="1"/>
    <col min="21" max="21" width="13.28515625" bestFit="1" customWidth="1"/>
    <col min="22" max="22" width="11.85546875" bestFit="1" customWidth="1"/>
    <col min="23" max="23" width="13.7109375" bestFit="1" customWidth="1"/>
    <col min="24" max="24" width="16.28515625" bestFit="1" customWidth="1"/>
    <col min="25" max="25" width="11.85546875" bestFit="1" customWidth="1"/>
  </cols>
  <sheetData>
    <row r="3" spans="1:25" ht="15.75">
      <c r="A3" s="27" t="s">
        <v>466</v>
      </c>
      <c r="B3" s="30" t="s">
        <v>467</v>
      </c>
    </row>
    <row r="4" spans="1:25" ht="15.75">
      <c r="A4" s="44" t="s">
        <v>69</v>
      </c>
      <c r="B4" s="28">
        <v>160.18333333333334</v>
      </c>
    </row>
    <row r="5" spans="1:25" s="25" customFormat="1">
      <c r="A5" s="42" t="s">
        <v>469</v>
      </c>
      <c r="B5" s="26">
        <v>17.366666666666671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1:25" s="25" customFormat="1">
      <c r="A6" s="42" t="s">
        <v>470</v>
      </c>
      <c r="B6" s="26">
        <v>82.25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1:25" s="25" customFormat="1">
      <c r="A7" s="42" t="s">
        <v>471</v>
      </c>
      <c r="B7" s="26">
        <v>28.233333333333327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1:25" s="25" customFormat="1">
      <c r="A8" s="42" t="s">
        <v>406</v>
      </c>
      <c r="B8" s="26">
        <v>32.333333333333336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1:25">
      <c r="A9" s="40" t="s">
        <v>24</v>
      </c>
      <c r="B9" s="26">
        <v>188.15666666666681</v>
      </c>
    </row>
    <row r="10" spans="1:25">
      <c r="A10" s="42" t="s">
        <v>470</v>
      </c>
      <c r="B10" s="26">
        <v>72.336666666666673</v>
      </c>
    </row>
    <row r="11" spans="1:25">
      <c r="A11" s="42" t="s">
        <v>471</v>
      </c>
      <c r="B11" s="26">
        <v>59.153333333333379</v>
      </c>
    </row>
    <row r="12" spans="1:25">
      <c r="A12" s="42" t="s">
        <v>406</v>
      </c>
      <c r="B12" s="26">
        <v>56.666666666666742</v>
      </c>
    </row>
    <row r="13" spans="1:25" ht="15.75">
      <c r="A13" s="31" t="s">
        <v>468</v>
      </c>
      <c r="B13" s="26">
        <v>348.34000000000015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N5" sqref="N5"/>
    </sheetView>
  </sheetViews>
  <sheetFormatPr defaultColWidth="8.85546875" defaultRowHeight="15"/>
  <cols>
    <col min="1" max="1" width="22" bestFit="1" customWidth="1"/>
    <col min="2" max="2" width="24.85546875" bestFit="1" customWidth="1"/>
    <col min="3" max="3" width="7.85546875" style="22" bestFit="1" customWidth="1"/>
    <col min="4" max="4" width="14.85546875" style="22" bestFit="1" customWidth="1"/>
    <col min="5" max="5" width="15.42578125" style="22" bestFit="1" customWidth="1"/>
    <col min="6" max="6" width="3.85546875" style="22" bestFit="1" customWidth="1"/>
    <col min="7" max="7" width="12.42578125" style="22" bestFit="1" customWidth="1"/>
    <col min="8" max="8" width="13.42578125" style="22" bestFit="1" customWidth="1"/>
    <col min="9" max="9" width="7.28515625" style="22" bestFit="1" customWidth="1"/>
    <col min="10" max="10" width="12.5703125" bestFit="1" customWidth="1"/>
    <col min="11" max="12" width="11.85546875" bestFit="1" customWidth="1"/>
  </cols>
  <sheetData>
    <row r="1" spans="1:10">
      <c r="A1" s="4" t="s">
        <v>10</v>
      </c>
      <c r="B1" t="s">
        <v>465</v>
      </c>
    </row>
    <row r="2" spans="1:10">
      <c r="A2" s="4" t="s">
        <v>1</v>
      </c>
      <c r="B2" t="s">
        <v>472</v>
      </c>
      <c r="C2"/>
      <c r="D2"/>
      <c r="E2"/>
      <c r="F2"/>
      <c r="G2"/>
      <c r="H2"/>
      <c r="I2"/>
    </row>
    <row r="3" spans="1:10">
      <c r="C3"/>
      <c r="D3"/>
      <c r="E3"/>
      <c r="F3"/>
      <c r="G3"/>
      <c r="H3"/>
      <c r="I3"/>
    </row>
    <row r="4" spans="1:10">
      <c r="A4" s="4" t="s">
        <v>467</v>
      </c>
      <c r="B4" s="4" t="s">
        <v>473</v>
      </c>
      <c r="J4" s="22"/>
    </row>
    <row r="5" spans="1:10">
      <c r="A5" s="4" t="s">
        <v>466</v>
      </c>
      <c r="B5" t="s">
        <v>52</v>
      </c>
      <c r="C5" t="s">
        <v>90</v>
      </c>
      <c r="D5" t="s">
        <v>33</v>
      </c>
      <c r="E5" t="s">
        <v>296</v>
      </c>
      <c r="F5" t="s">
        <v>59</v>
      </c>
      <c r="G5" t="s">
        <v>141</v>
      </c>
      <c r="H5" t="s">
        <v>85</v>
      </c>
      <c r="I5" t="s">
        <v>411</v>
      </c>
      <c r="J5" t="s">
        <v>468</v>
      </c>
    </row>
    <row r="6" spans="1:10">
      <c r="A6" s="15" t="s">
        <v>406</v>
      </c>
      <c r="B6" s="41">
        <v>19.500000000000028</v>
      </c>
      <c r="C6" s="41">
        <v>10.416666666666668</v>
      </c>
      <c r="D6" s="41">
        <v>1.9166666666666679</v>
      </c>
      <c r="E6" s="41">
        <v>36.166666666666714</v>
      </c>
      <c r="F6" s="41">
        <v>4.5</v>
      </c>
      <c r="G6" s="41"/>
      <c r="H6" s="41"/>
      <c r="I6" s="41">
        <v>0.99999999999999911</v>
      </c>
      <c r="J6" s="23">
        <v>73.500000000000085</v>
      </c>
    </row>
    <row r="7" spans="1:10">
      <c r="A7" s="15" t="s">
        <v>471</v>
      </c>
      <c r="B7" s="41">
        <v>48.973333333333358</v>
      </c>
      <c r="C7" s="41">
        <v>6.166666666666667</v>
      </c>
      <c r="D7" s="41">
        <v>10.580000000000009</v>
      </c>
      <c r="E7" s="41"/>
      <c r="F7" s="41"/>
      <c r="G7" s="41">
        <v>0.75</v>
      </c>
      <c r="H7" s="41"/>
      <c r="I7" s="41"/>
      <c r="J7" s="23">
        <v>66.470000000000027</v>
      </c>
    </row>
    <row r="8" spans="1:10">
      <c r="A8" s="15" t="s">
        <v>470</v>
      </c>
      <c r="B8" s="41">
        <v>27.833333333333332</v>
      </c>
      <c r="C8" s="41">
        <v>41.716666666666654</v>
      </c>
      <c r="D8" s="41">
        <v>35.020000000000003</v>
      </c>
      <c r="E8" s="41">
        <v>37.666666666666671</v>
      </c>
      <c r="F8" s="41">
        <v>0.49999999999999989</v>
      </c>
      <c r="G8" s="41"/>
      <c r="H8" s="41"/>
      <c r="I8" s="41"/>
      <c r="J8" s="23">
        <v>142.73666666666665</v>
      </c>
    </row>
    <row r="9" spans="1:10">
      <c r="A9" s="15" t="s">
        <v>469</v>
      </c>
      <c r="B9" s="41">
        <v>17.366666666666671</v>
      </c>
      <c r="C9" s="41"/>
      <c r="D9" s="41"/>
      <c r="E9" s="41"/>
      <c r="F9" s="41"/>
      <c r="G9" s="41"/>
      <c r="H9" s="41"/>
      <c r="I9" s="41"/>
      <c r="J9" s="23">
        <v>17.366666666666671</v>
      </c>
    </row>
    <row r="10" spans="1:10">
      <c r="A10" s="15" t="s">
        <v>474</v>
      </c>
      <c r="B10" s="41">
        <v>22.453333333333333</v>
      </c>
      <c r="C10" s="41">
        <v>10.809999999999997</v>
      </c>
      <c r="D10" s="41">
        <v>3.6666666666666643</v>
      </c>
      <c r="E10" s="41"/>
      <c r="F10" s="41"/>
      <c r="G10" s="41"/>
      <c r="H10" s="41"/>
      <c r="I10" s="41"/>
      <c r="J10" s="23">
        <v>36.929999999999993</v>
      </c>
    </row>
    <row r="11" spans="1:10">
      <c r="A11" s="15" t="s">
        <v>475</v>
      </c>
      <c r="B11" s="41">
        <v>23.409999999999997</v>
      </c>
      <c r="C11" s="41">
        <v>30.533333333333331</v>
      </c>
      <c r="D11" s="41">
        <v>30.566666666666706</v>
      </c>
      <c r="E11" s="41"/>
      <c r="F11" s="41"/>
      <c r="G11" s="41">
        <v>2.5000000000000004</v>
      </c>
      <c r="H11" s="41">
        <v>1.0000000000000004</v>
      </c>
      <c r="I11" s="41"/>
      <c r="J11" s="23">
        <v>88.010000000000034</v>
      </c>
    </row>
    <row r="12" spans="1:10">
      <c r="A12" s="15" t="s">
        <v>468</v>
      </c>
      <c r="B12" s="41">
        <v>159.53666666666672</v>
      </c>
      <c r="C12" s="41">
        <v>99.643333333333317</v>
      </c>
      <c r="D12" s="41">
        <v>81.750000000000057</v>
      </c>
      <c r="E12" s="41">
        <v>73.833333333333385</v>
      </c>
      <c r="F12" s="41">
        <v>5</v>
      </c>
      <c r="G12" s="41">
        <v>3.2500000000000004</v>
      </c>
      <c r="H12" s="41">
        <v>1.0000000000000004</v>
      </c>
      <c r="I12" s="41">
        <v>0.99999999999999911</v>
      </c>
      <c r="J12" s="23">
        <v>425.01333333333349</v>
      </c>
    </row>
    <row r="13" spans="1:10">
      <c r="C13"/>
      <c r="D13"/>
      <c r="E13"/>
      <c r="F13"/>
      <c r="G13"/>
      <c r="H13"/>
      <c r="I13"/>
    </row>
    <row r="14" spans="1:10">
      <c r="C14"/>
      <c r="D14"/>
      <c r="E14"/>
      <c r="F14"/>
      <c r="G14"/>
      <c r="H14"/>
      <c r="I14"/>
    </row>
    <row r="15" spans="1:10">
      <c r="C15"/>
      <c r="D15"/>
      <c r="E15"/>
      <c r="F15"/>
      <c r="G15"/>
      <c r="H15"/>
      <c r="I15"/>
    </row>
    <row r="16" spans="1:10">
      <c r="C16"/>
      <c r="D16"/>
      <c r="E16"/>
      <c r="F16"/>
      <c r="G16"/>
      <c r="H16"/>
      <c r="I16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"/>
  <sheetViews>
    <sheetView workbookViewId="0">
      <selection activeCell="A6" sqref="A6"/>
    </sheetView>
  </sheetViews>
  <sheetFormatPr defaultColWidth="8.85546875" defaultRowHeight="15"/>
  <cols>
    <col min="1" max="1" width="38.42578125" bestFit="1" customWidth="1"/>
    <col min="2" max="2" width="24.85546875" bestFit="1" customWidth="1"/>
    <col min="3" max="3" width="7.85546875" bestFit="1" customWidth="1"/>
    <col min="4" max="4" width="11.5703125" bestFit="1" customWidth="1"/>
    <col min="5" max="5" width="6.5703125" bestFit="1" customWidth="1"/>
    <col min="6" max="6" width="12.42578125" bestFit="1" customWidth="1"/>
    <col min="7" max="7" width="13.42578125" bestFit="1" customWidth="1"/>
    <col min="8" max="9" width="12.5703125" bestFit="1" customWidth="1"/>
  </cols>
  <sheetData>
    <row r="2" spans="1:8">
      <c r="A2" s="4" t="s">
        <v>476</v>
      </c>
      <c r="B2" s="4" t="s">
        <v>473</v>
      </c>
    </row>
    <row r="3" spans="1:8">
      <c r="A3" s="4" t="s">
        <v>466</v>
      </c>
      <c r="B3" t="s">
        <v>33</v>
      </c>
      <c r="C3" t="s">
        <v>90</v>
      </c>
      <c r="D3" t="s">
        <v>52</v>
      </c>
      <c r="E3" t="s">
        <v>59</v>
      </c>
      <c r="F3" t="s">
        <v>141</v>
      </c>
      <c r="G3" t="s">
        <v>85</v>
      </c>
      <c r="H3" t="s">
        <v>468</v>
      </c>
    </row>
    <row r="4" spans="1:8">
      <c r="A4" s="15" t="s">
        <v>474</v>
      </c>
      <c r="B4" s="17"/>
      <c r="C4" s="17"/>
      <c r="D4" s="17">
        <v>2.7763429752066106E-3</v>
      </c>
      <c r="E4" s="17"/>
      <c r="F4" s="17"/>
      <c r="G4" s="17"/>
      <c r="H4" s="17">
        <v>2.7763429752066106E-3</v>
      </c>
    </row>
    <row r="5" spans="1:8">
      <c r="A5" s="15" t="s">
        <v>475</v>
      </c>
      <c r="B5" s="17">
        <v>4.6270038018931446E-2</v>
      </c>
      <c r="C5" s="17">
        <v>2.365702479338843E-2</v>
      </c>
      <c r="D5" s="17">
        <v>1.5748966942148758E-2</v>
      </c>
      <c r="E5" s="17"/>
      <c r="F5" s="17">
        <v>1.9369834710743802E-3</v>
      </c>
      <c r="G5" s="17">
        <v>7.747933884297523E-4</v>
      </c>
      <c r="H5" s="17">
        <v>8.8387806613972747E-2</v>
      </c>
    </row>
    <row r="6" spans="1:8">
      <c r="A6" s="15" t="s">
        <v>477</v>
      </c>
      <c r="B6" s="17">
        <v>1.7425343551797535E-3</v>
      </c>
      <c r="C6" s="17"/>
      <c r="D6" s="17">
        <v>1.5538911845730006E-2</v>
      </c>
      <c r="E6" s="17">
        <v>1.0309994934813207E-2</v>
      </c>
      <c r="F6" s="17"/>
      <c r="G6" s="17"/>
      <c r="H6" s="17">
        <v>2.7591441135722969E-2</v>
      </c>
    </row>
    <row r="7" spans="1:8">
      <c r="A7" s="15" t="s">
        <v>478</v>
      </c>
      <c r="B7" s="17">
        <v>1.9842068277916597E-2</v>
      </c>
      <c r="C7" s="17"/>
      <c r="D7" s="17"/>
      <c r="E7" s="17"/>
      <c r="F7" s="17"/>
      <c r="G7" s="17"/>
      <c r="H7" s="17">
        <v>1.9842068277916597E-2</v>
      </c>
    </row>
    <row r="8" spans="1:8">
      <c r="A8" s="15" t="s">
        <v>479</v>
      </c>
      <c r="B8" s="17">
        <v>1.0455206131078223E-2</v>
      </c>
      <c r="C8" s="17">
        <v>4.9079257159331154E-2</v>
      </c>
      <c r="D8" s="17"/>
      <c r="E8" s="17"/>
      <c r="F8" s="17"/>
      <c r="G8" s="17"/>
      <c r="H8" s="17">
        <v>5.9534463290409373E-2</v>
      </c>
    </row>
    <row r="9" spans="1:8">
      <c r="A9" s="15" t="s">
        <v>468</v>
      </c>
      <c r="B9" s="17">
        <v>7.8309846783106013E-2</v>
      </c>
      <c r="C9" s="17">
        <v>7.2736281952719584E-2</v>
      </c>
      <c r="D9" s="17">
        <v>3.4064221763085378E-2</v>
      </c>
      <c r="E9" s="17">
        <v>1.0309994934813207E-2</v>
      </c>
      <c r="F9" s="17">
        <v>1.9369834710743802E-3</v>
      </c>
      <c r="G9" s="17">
        <v>7.747933884297523E-4</v>
      </c>
      <c r="H9" s="17">
        <v>0.1981321222932283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workbookViewId="0">
      <selection activeCell="B6" sqref="B6"/>
    </sheetView>
  </sheetViews>
  <sheetFormatPr defaultColWidth="8.85546875" defaultRowHeight="15"/>
  <cols>
    <col min="1" max="1" width="38.42578125" bestFit="1" customWidth="1"/>
    <col min="2" max="2" width="24.85546875" bestFit="1" customWidth="1"/>
    <col min="3" max="3" width="7.85546875" bestFit="1" customWidth="1"/>
    <col min="4" max="4" width="11.5703125" bestFit="1" customWidth="1"/>
    <col min="5" max="5" width="6.5703125" bestFit="1" customWidth="1"/>
    <col min="6" max="6" width="12.42578125" bestFit="1" customWidth="1"/>
    <col min="7" max="7" width="13.42578125" bestFit="1" customWidth="1"/>
    <col min="8" max="9" width="12.5703125" bestFit="1" customWidth="1"/>
  </cols>
  <sheetData>
    <row r="2" spans="1:8">
      <c r="A2" s="4" t="s">
        <v>476</v>
      </c>
      <c r="B2" s="4" t="s">
        <v>473</v>
      </c>
    </row>
    <row r="3" spans="1:8">
      <c r="A3" s="4" t="s">
        <v>466</v>
      </c>
      <c r="B3" t="s">
        <v>33</v>
      </c>
      <c r="C3" t="s">
        <v>90</v>
      </c>
      <c r="D3" t="s">
        <v>52</v>
      </c>
      <c r="E3" t="s">
        <v>59</v>
      </c>
      <c r="F3" t="s">
        <v>141</v>
      </c>
      <c r="G3" t="s">
        <v>85</v>
      </c>
      <c r="H3" t="s">
        <v>468</v>
      </c>
    </row>
    <row r="4" spans="1:8">
      <c r="A4" s="15" t="s">
        <v>24</v>
      </c>
      <c r="B4" s="17">
        <v>7.3947760006246518E-2</v>
      </c>
      <c r="C4" s="17">
        <v>4.9079257159331154E-2</v>
      </c>
      <c r="D4" s="17">
        <v>1.5538911845730006E-2</v>
      </c>
      <c r="E4" s="17">
        <v>1.0309994934813207E-2</v>
      </c>
      <c r="F4" s="17"/>
      <c r="G4" s="17"/>
      <c r="H4" s="17">
        <v>0.14887592394612087</v>
      </c>
    </row>
    <row r="5" spans="1:8">
      <c r="A5" s="16" t="s">
        <v>475</v>
      </c>
      <c r="B5" s="17">
        <v>4.1907951242071945E-2</v>
      </c>
      <c r="C5" s="17"/>
      <c r="D5" s="17"/>
      <c r="E5" s="17"/>
      <c r="F5" s="17"/>
      <c r="G5" s="17"/>
      <c r="H5" s="17">
        <v>4.1907951242071945E-2</v>
      </c>
    </row>
    <row r="6" spans="1:8">
      <c r="A6" s="16" t="s">
        <v>477</v>
      </c>
      <c r="B6" s="17">
        <v>1.7425343551797535E-3</v>
      </c>
      <c r="C6" s="17"/>
      <c r="D6" s="17">
        <v>1.5538911845730006E-2</v>
      </c>
      <c r="E6" s="17">
        <v>1.0309994934813207E-2</v>
      </c>
      <c r="F6" s="17"/>
      <c r="G6" s="17"/>
      <c r="H6" s="17">
        <v>2.7591441135722969E-2</v>
      </c>
    </row>
    <row r="7" spans="1:8">
      <c r="A7" s="16" t="s">
        <v>478</v>
      </c>
      <c r="B7" s="17">
        <v>1.9842068277916597E-2</v>
      </c>
      <c r="C7" s="17"/>
      <c r="D7" s="17"/>
      <c r="E7" s="17"/>
      <c r="F7" s="17"/>
      <c r="G7" s="17"/>
      <c r="H7" s="17">
        <v>1.9842068277916597E-2</v>
      </c>
    </row>
    <row r="8" spans="1:8">
      <c r="A8" s="16" t="s">
        <v>479</v>
      </c>
      <c r="B8" s="17">
        <v>1.0455206131078223E-2</v>
      </c>
      <c r="C8" s="17">
        <v>4.9079257159331154E-2</v>
      </c>
      <c r="D8" s="17"/>
      <c r="E8" s="17"/>
      <c r="F8" s="17"/>
      <c r="G8" s="17"/>
      <c r="H8" s="17">
        <v>5.9534463290409373E-2</v>
      </c>
    </row>
    <row r="9" spans="1:8">
      <c r="A9" s="15" t="s">
        <v>69</v>
      </c>
      <c r="B9" s="17">
        <v>4.3620867768595049E-3</v>
      </c>
      <c r="C9" s="17">
        <v>2.365702479338843E-2</v>
      </c>
      <c r="D9" s="17">
        <v>1.8525309917355369E-2</v>
      </c>
      <c r="E9" s="17"/>
      <c r="F9" s="17">
        <v>1.9369834710743802E-3</v>
      </c>
      <c r="G9" s="17">
        <v>7.747933884297523E-4</v>
      </c>
      <c r="H9" s="17">
        <v>4.9256198347107441E-2</v>
      </c>
    </row>
    <row r="10" spans="1:8">
      <c r="A10" s="16" t="s">
        <v>474</v>
      </c>
      <c r="B10" s="17"/>
      <c r="C10" s="17"/>
      <c r="D10" s="17">
        <v>2.7763429752066106E-3</v>
      </c>
      <c r="E10" s="17"/>
      <c r="F10" s="17"/>
      <c r="G10" s="17"/>
      <c r="H10" s="17">
        <v>2.7763429752066106E-3</v>
      </c>
    </row>
    <row r="11" spans="1:8">
      <c r="A11" s="16" t="s">
        <v>475</v>
      </c>
      <c r="B11" s="17">
        <v>4.3620867768595049E-3</v>
      </c>
      <c r="C11" s="17">
        <v>2.365702479338843E-2</v>
      </c>
      <c r="D11" s="17">
        <v>1.5748966942148758E-2</v>
      </c>
      <c r="E11" s="17"/>
      <c r="F11" s="17">
        <v>1.9369834710743802E-3</v>
      </c>
      <c r="G11" s="17">
        <v>7.747933884297523E-4</v>
      </c>
      <c r="H11" s="17">
        <v>4.647985537190083E-2</v>
      </c>
    </row>
    <row r="12" spans="1:8">
      <c r="A12" s="15" t="s">
        <v>468</v>
      </c>
      <c r="B12" s="17">
        <v>7.8309846783106027E-2</v>
      </c>
      <c r="C12" s="17">
        <v>7.2736281952719584E-2</v>
      </c>
      <c r="D12" s="17">
        <v>3.4064221763085378E-2</v>
      </c>
      <c r="E12" s="17">
        <v>1.0309994934813207E-2</v>
      </c>
      <c r="F12" s="17">
        <v>1.9369834710743802E-3</v>
      </c>
      <c r="G12" s="17">
        <v>7.747933884297523E-4</v>
      </c>
      <c r="H12" s="17">
        <v>0.1981321222932283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opLeftCell="A6" workbookViewId="0">
      <selection activeCell="G23" sqref="G23"/>
    </sheetView>
  </sheetViews>
  <sheetFormatPr defaultColWidth="8.85546875" defaultRowHeight="15"/>
  <sheetData>
    <row r="1" spans="1:4">
      <c r="A1" t="s">
        <v>442</v>
      </c>
      <c r="B1" t="s">
        <v>367</v>
      </c>
      <c r="C1" t="s">
        <v>105</v>
      </c>
      <c r="D1" t="s">
        <v>480</v>
      </c>
    </row>
    <row r="2" spans="1:4">
      <c r="A2" t="s">
        <v>99</v>
      </c>
      <c r="B2" t="s">
        <v>481</v>
      </c>
      <c r="C2" t="s">
        <v>70</v>
      </c>
      <c r="D2" t="s">
        <v>482</v>
      </c>
    </row>
    <row r="3" spans="1:4">
      <c r="A3" t="s">
        <v>483</v>
      </c>
      <c r="D3" t="s">
        <v>484</v>
      </c>
    </row>
    <row r="4" spans="1:4">
      <c r="A4" t="s">
        <v>485</v>
      </c>
      <c r="D4" t="s">
        <v>486</v>
      </c>
    </row>
    <row r="5" spans="1:4">
      <c r="D5" t="s">
        <v>487</v>
      </c>
    </row>
    <row r="6" spans="1:4">
      <c r="D6" t="s">
        <v>488</v>
      </c>
    </row>
    <row r="7" spans="1:4">
      <c r="A7" t="s">
        <v>99</v>
      </c>
      <c r="D7" t="s">
        <v>426</v>
      </c>
    </row>
    <row r="8" spans="1:4">
      <c r="A8" t="s">
        <v>442</v>
      </c>
      <c r="D8" t="s">
        <v>489</v>
      </c>
    </row>
    <row r="9" spans="1:4">
      <c r="A9" t="s">
        <v>99</v>
      </c>
      <c r="D9" t="s">
        <v>490</v>
      </c>
    </row>
    <row r="10" spans="1:4">
      <c r="A10" t="s">
        <v>485</v>
      </c>
      <c r="D10" t="s">
        <v>368</v>
      </c>
    </row>
    <row r="11" spans="1:4">
      <c r="A11" t="s">
        <v>442</v>
      </c>
      <c r="D11" t="s">
        <v>491</v>
      </c>
    </row>
    <row r="12" spans="1:4">
      <c r="A12" t="s">
        <v>485</v>
      </c>
      <c r="D12" t="s">
        <v>492</v>
      </c>
    </row>
    <row r="13" spans="1:4">
      <c r="D13" t="s">
        <v>493</v>
      </c>
    </row>
    <row r="14" spans="1:4">
      <c r="D14" t="s">
        <v>494</v>
      </c>
    </row>
    <row r="15" spans="1:4">
      <c r="D15" t="s">
        <v>495</v>
      </c>
    </row>
    <row r="16" spans="1:4">
      <c r="D16" t="s">
        <v>496</v>
      </c>
    </row>
    <row r="17" spans="4:4">
      <c r="D17" t="s">
        <v>497</v>
      </c>
    </row>
    <row r="18" spans="4:4">
      <c r="D18" t="s">
        <v>498</v>
      </c>
    </row>
    <row r="19" spans="4:4">
      <c r="D19" t="s">
        <v>499</v>
      </c>
    </row>
    <row r="20" spans="4:4">
      <c r="D20" t="s">
        <v>500</v>
      </c>
    </row>
    <row r="21" spans="4:4">
      <c r="D21" t="s">
        <v>501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N11" sqref="N11"/>
    </sheetView>
  </sheetViews>
  <sheetFormatPr defaultColWidth="11.42578125" defaultRowHeight="15"/>
  <cols>
    <col min="1" max="1" width="22" bestFit="1" customWidth="1"/>
    <col min="2" max="2" width="24.85546875" bestFit="1" customWidth="1"/>
    <col min="3" max="3" width="5.85546875" bestFit="1" customWidth="1"/>
    <col min="4" max="4" width="5.140625" bestFit="1" customWidth="1"/>
    <col min="5" max="5" width="12.5703125" bestFit="1" customWidth="1"/>
  </cols>
  <sheetData>
    <row r="1" spans="1:5">
      <c r="A1" s="4" t="s">
        <v>5</v>
      </c>
      <c r="B1" s="15">
        <v>2026</v>
      </c>
    </row>
    <row r="3" spans="1:5">
      <c r="A3" s="4" t="s">
        <v>467</v>
      </c>
      <c r="B3" s="4" t="s">
        <v>473</v>
      </c>
    </row>
    <row r="4" spans="1:5">
      <c r="A4" s="4" t="s">
        <v>466</v>
      </c>
      <c r="B4" t="s">
        <v>105</v>
      </c>
      <c r="C4" t="s">
        <v>70</v>
      </c>
      <c r="D4" t="s">
        <v>25</v>
      </c>
      <c r="E4" t="s">
        <v>468</v>
      </c>
    </row>
    <row r="5" spans="1:5">
      <c r="A5" s="15" t="s">
        <v>69</v>
      </c>
      <c r="B5" s="32">
        <v>118.98333333333332</v>
      </c>
      <c r="C5" s="32">
        <v>62.199999999999996</v>
      </c>
      <c r="D5" s="32"/>
      <c r="E5" s="32">
        <v>181.18333333333334</v>
      </c>
    </row>
    <row r="6" spans="1:5">
      <c r="A6" s="16" t="s">
        <v>469</v>
      </c>
      <c r="B6" s="32"/>
      <c r="C6" s="32">
        <v>17.366666666666671</v>
      </c>
      <c r="D6" s="32"/>
      <c r="E6" s="32">
        <v>17.366666666666671</v>
      </c>
    </row>
    <row r="7" spans="1:5">
      <c r="A7" s="16" t="s">
        <v>470</v>
      </c>
      <c r="B7" s="32">
        <v>43.066666666666663</v>
      </c>
      <c r="C7" s="32">
        <v>39.18333333333333</v>
      </c>
      <c r="D7" s="32"/>
      <c r="E7" s="32">
        <v>82.25</v>
      </c>
    </row>
    <row r="8" spans="1:5">
      <c r="A8" s="16" t="s">
        <v>471</v>
      </c>
      <c r="B8" s="32">
        <v>26.083333333333329</v>
      </c>
      <c r="C8" s="32">
        <v>2.1500000000000004</v>
      </c>
      <c r="D8" s="32"/>
      <c r="E8" s="32">
        <v>28.233333333333327</v>
      </c>
    </row>
    <row r="9" spans="1:5">
      <c r="A9" s="16" t="s">
        <v>406</v>
      </c>
      <c r="B9" s="32">
        <v>28.833333333333336</v>
      </c>
      <c r="C9" s="32">
        <v>3.5000000000000009</v>
      </c>
      <c r="D9" s="32"/>
      <c r="E9" s="32">
        <v>32.333333333333336</v>
      </c>
    </row>
    <row r="10" spans="1:5">
      <c r="A10" s="16" t="s">
        <v>502</v>
      </c>
      <c r="B10" s="32">
        <v>20.999999999999993</v>
      </c>
      <c r="C10" s="32"/>
      <c r="D10" s="32"/>
      <c r="E10" s="32">
        <v>20.999999999999993</v>
      </c>
    </row>
    <row r="11" spans="1:5">
      <c r="A11" s="15" t="s">
        <v>24</v>
      </c>
      <c r="B11" s="32"/>
      <c r="C11" s="32"/>
      <c r="D11" s="32">
        <v>212.15666666666687</v>
      </c>
      <c r="E11" s="32">
        <v>212.15666666666687</v>
      </c>
    </row>
    <row r="12" spans="1:5">
      <c r="A12" s="16" t="s">
        <v>470</v>
      </c>
      <c r="B12" s="32"/>
      <c r="C12" s="32"/>
      <c r="D12" s="32">
        <v>72.336666666666673</v>
      </c>
      <c r="E12" s="32">
        <v>72.336666666666673</v>
      </c>
    </row>
    <row r="13" spans="1:5">
      <c r="A13" s="16" t="s">
        <v>471</v>
      </c>
      <c r="B13" s="32"/>
      <c r="C13" s="32"/>
      <c r="D13" s="32">
        <v>59.153333333333379</v>
      </c>
      <c r="E13" s="32">
        <v>59.153333333333379</v>
      </c>
    </row>
    <row r="14" spans="1:5">
      <c r="A14" s="16" t="s">
        <v>406</v>
      </c>
      <c r="B14" s="32"/>
      <c r="C14" s="32"/>
      <c r="D14" s="32">
        <v>56.666666666666742</v>
      </c>
      <c r="E14" s="32">
        <v>56.666666666666742</v>
      </c>
    </row>
    <row r="15" spans="1:5">
      <c r="A15" s="16" t="s">
        <v>502</v>
      </c>
      <c r="B15" s="32"/>
      <c r="C15" s="32"/>
      <c r="D15" s="32">
        <v>24.000000000000043</v>
      </c>
      <c r="E15" s="32">
        <v>24.000000000000043</v>
      </c>
    </row>
    <row r="16" spans="1:5">
      <c r="A16" s="15" t="s">
        <v>468</v>
      </c>
      <c r="B16" s="32">
        <v>118.98333333333332</v>
      </c>
      <c r="C16" s="32">
        <v>62.199999999999996</v>
      </c>
      <c r="D16" s="32">
        <v>212.15666666666687</v>
      </c>
      <c r="E16" s="32">
        <v>393.3400000000002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8" sqref="B8"/>
    </sheetView>
  </sheetViews>
  <sheetFormatPr defaultColWidth="11.42578125" defaultRowHeight="15"/>
  <cols>
    <col min="1" max="1" width="21.85546875" bestFit="1" customWidth="1"/>
    <col min="2" max="2" width="38.42578125" bestFit="1" customWidth="1"/>
  </cols>
  <sheetData>
    <row r="1" spans="1:2">
      <c r="A1" s="4" t="s">
        <v>5</v>
      </c>
      <c r="B1" s="15">
        <v>2026</v>
      </c>
    </row>
    <row r="3" spans="1:2">
      <c r="A3" s="4" t="s">
        <v>466</v>
      </c>
      <c r="B3" t="s">
        <v>476</v>
      </c>
    </row>
    <row r="4" spans="1:2">
      <c r="A4" s="15" t="s">
        <v>69</v>
      </c>
      <c r="B4" s="17">
        <v>0.11988378099173552</v>
      </c>
    </row>
    <row r="5" spans="1:2">
      <c r="A5" s="16" t="s">
        <v>469</v>
      </c>
      <c r="B5" s="17">
        <v>1.3455578512396694E-2</v>
      </c>
    </row>
    <row r="6" spans="1:2">
      <c r="A6" s="16" t="s">
        <v>470</v>
      </c>
      <c r="B6" s="17">
        <v>6.1145402892561984E-2</v>
      </c>
    </row>
    <row r="7" spans="1:2">
      <c r="A7" s="16" t="s">
        <v>471</v>
      </c>
      <c r="B7" s="17">
        <v>1.5127840909090903E-2</v>
      </c>
    </row>
    <row r="8" spans="1:2">
      <c r="A8" s="16" t="s">
        <v>406</v>
      </c>
      <c r="B8" s="17">
        <v>1.902376033057851E-2</v>
      </c>
    </row>
    <row r="9" spans="1:2">
      <c r="A9" s="16" t="s">
        <v>502</v>
      </c>
      <c r="B9" s="17">
        <v>1.1131198347107433E-2</v>
      </c>
    </row>
    <row r="10" spans="1:2">
      <c r="A10" s="15" t="s">
        <v>24</v>
      </c>
      <c r="B10" s="17">
        <v>0.34710114907665474</v>
      </c>
    </row>
    <row r="11" spans="1:2">
      <c r="A11" s="16" t="s">
        <v>470</v>
      </c>
      <c r="B11" s="17">
        <v>0.11586870205090012</v>
      </c>
    </row>
    <row r="12" spans="1:2">
      <c r="A12" s="16" t="s">
        <v>471</v>
      </c>
      <c r="B12" s="17">
        <v>9.7647906456211228E-2</v>
      </c>
    </row>
    <row r="13" spans="1:2">
      <c r="A13" s="16" t="s">
        <v>406</v>
      </c>
      <c r="B13" s="17">
        <v>9.1763716045230453E-2</v>
      </c>
    </row>
    <row r="14" spans="1:2">
      <c r="A14" s="16" t="s">
        <v>502</v>
      </c>
      <c r="B14" s="17">
        <v>4.1820824524312968E-2</v>
      </c>
    </row>
    <row r="15" spans="1:2">
      <c r="A15" s="15" t="s">
        <v>468</v>
      </c>
      <c r="B15" s="17">
        <v>0.46698493006839031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9" sqref="B9"/>
    </sheetView>
  </sheetViews>
  <sheetFormatPr defaultColWidth="11.42578125" defaultRowHeight="15"/>
  <cols>
    <col min="1" max="1" width="21.85546875" bestFit="1" customWidth="1"/>
    <col min="2" max="2" width="22" bestFit="1" customWidth="1"/>
  </cols>
  <sheetData>
    <row r="1" spans="1:2">
      <c r="A1" s="4" t="s">
        <v>5</v>
      </c>
      <c r="B1" s="15">
        <v>2026</v>
      </c>
    </row>
    <row r="3" spans="1:2">
      <c r="A3" s="4" t="s">
        <v>466</v>
      </c>
      <c r="B3" t="s">
        <v>467</v>
      </c>
    </row>
    <row r="4" spans="1:2">
      <c r="A4" s="15" t="s">
        <v>69</v>
      </c>
      <c r="B4" s="32">
        <v>181.18333333333334</v>
      </c>
    </row>
    <row r="5" spans="1:2">
      <c r="A5" s="16" t="s">
        <v>469</v>
      </c>
      <c r="B5" s="32">
        <v>17.366666666666671</v>
      </c>
    </row>
    <row r="6" spans="1:2">
      <c r="A6" s="16" t="s">
        <v>470</v>
      </c>
      <c r="B6" s="32">
        <v>82.25</v>
      </c>
    </row>
    <row r="7" spans="1:2">
      <c r="A7" s="16" t="s">
        <v>471</v>
      </c>
      <c r="B7" s="32">
        <v>28.233333333333327</v>
      </c>
    </row>
    <row r="8" spans="1:2">
      <c r="A8" s="16" t="s">
        <v>406</v>
      </c>
      <c r="B8" s="32">
        <v>32.333333333333336</v>
      </c>
    </row>
    <row r="9" spans="1:2">
      <c r="A9" s="16" t="s">
        <v>502</v>
      </c>
      <c r="B9" s="32">
        <v>20.999999999999993</v>
      </c>
    </row>
    <row r="10" spans="1:2">
      <c r="A10" s="15" t="s">
        <v>24</v>
      </c>
      <c r="B10" s="32">
        <v>212.15666666666687</v>
      </c>
    </row>
    <row r="11" spans="1:2">
      <c r="A11" s="16" t="s">
        <v>470</v>
      </c>
      <c r="B11" s="32">
        <v>72.336666666666673</v>
      </c>
    </row>
    <row r="12" spans="1:2">
      <c r="A12" s="16" t="s">
        <v>471</v>
      </c>
      <c r="B12" s="32">
        <v>59.153333333333379</v>
      </c>
    </row>
    <row r="13" spans="1:2">
      <c r="A13" s="16" t="s">
        <v>406</v>
      </c>
      <c r="B13" s="32">
        <v>56.666666666666742</v>
      </c>
    </row>
    <row r="14" spans="1:2">
      <c r="A14" s="16" t="s">
        <v>502</v>
      </c>
      <c r="B14" s="32">
        <v>24.000000000000043</v>
      </c>
    </row>
    <row r="15" spans="1:2">
      <c r="A15" s="15" t="s">
        <v>468</v>
      </c>
      <c r="B15" s="32">
        <v>393.3400000000002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9"/>
  <sheetViews>
    <sheetView topLeftCell="A7" workbookViewId="0">
      <selection activeCell="A7" sqref="A7"/>
    </sheetView>
  </sheetViews>
  <sheetFormatPr defaultColWidth="11.42578125" defaultRowHeight="15"/>
  <cols>
    <col min="1" max="1" width="22" bestFit="1" customWidth="1"/>
    <col min="2" max="2" width="24.85546875" bestFit="1" customWidth="1"/>
    <col min="3" max="3" width="5.85546875" bestFit="1" customWidth="1"/>
    <col min="4" max="6" width="12.5703125" bestFit="1" customWidth="1"/>
  </cols>
  <sheetData>
    <row r="2" spans="1:4">
      <c r="A2" s="4" t="s">
        <v>5</v>
      </c>
      <c r="B2" s="15">
        <v>2026</v>
      </c>
    </row>
    <row r="3" spans="1:4">
      <c r="A3" s="4" t="s">
        <v>0</v>
      </c>
      <c r="B3" t="s">
        <v>69</v>
      </c>
    </row>
    <row r="5" spans="1:4">
      <c r="A5" s="4" t="s">
        <v>467</v>
      </c>
      <c r="B5" s="4" t="s">
        <v>473</v>
      </c>
    </row>
    <row r="6" spans="1:4">
      <c r="A6" s="4" t="s">
        <v>466</v>
      </c>
      <c r="B6" t="s">
        <v>105</v>
      </c>
      <c r="C6" t="s">
        <v>70</v>
      </c>
      <c r="D6" t="s">
        <v>468</v>
      </c>
    </row>
    <row r="7" spans="1:4">
      <c r="A7" s="15" t="s">
        <v>471</v>
      </c>
      <c r="B7" s="32">
        <v>26.083333333333329</v>
      </c>
      <c r="C7" s="32">
        <v>2.1500000000000004</v>
      </c>
      <c r="D7" s="32">
        <v>28.233333333333331</v>
      </c>
    </row>
    <row r="8" spans="1:4">
      <c r="A8" s="16" t="s">
        <v>33</v>
      </c>
      <c r="B8" s="32">
        <v>16.833333333333329</v>
      </c>
      <c r="C8" s="32"/>
      <c r="D8" s="32">
        <v>16.833333333333329</v>
      </c>
    </row>
    <row r="9" spans="1:4">
      <c r="A9" s="16" t="s">
        <v>90</v>
      </c>
      <c r="B9" s="32">
        <v>6.166666666666667</v>
      </c>
      <c r="C9" s="32"/>
      <c r="D9" s="32">
        <v>6.166666666666667</v>
      </c>
    </row>
    <row r="10" spans="1:4">
      <c r="A10" s="16" t="s">
        <v>52</v>
      </c>
      <c r="B10" s="32">
        <v>2.333333333333333</v>
      </c>
      <c r="C10" s="32">
        <v>2.1500000000000004</v>
      </c>
      <c r="D10" s="32">
        <v>4.4833333333333334</v>
      </c>
    </row>
    <row r="11" spans="1:4">
      <c r="A11" s="16" t="s">
        <v>141</v>
      </c>
      <c r="B11" s="32">
        <v>0.75</v>
      </c>
      <c r="C11" s="32"/>
      <c r="D11" s="32">
        <v>0.75</v>
      </c>
    </row>
    <row r="12" spans="1:4">
      <c r="A12" s="15" t="s">
        <v>406</v>
      </c>
      <c r="B12" s="32">
        <v>28.833333333333336</v>
      </c>
      <c r="C12" s="32">
        <v>3.5000000000000009</v>
      </c>
      <c r="D12" s="32">
        <v>32.333333333333336</v>
      </c>
    </row>
    <row r="13" spans="1:4">
      <c r="A13" s="16" t="s">
        <v>33</v>
      </c>
      <c r="B13" s="32">
        <v>12.916666666666668</v>
      </c>
      <c r="C13" s="32"/>
      <c r="D13" s="32">
        <v>12.916666666666668</v>
      </c>
    </row>
    <row r="14" spans="1:4">
      <c r="A14" s="16" t="s">
        <v>90</v>
      </c>
      <c r="B14" s="32">
        <v>10.416666666666668</v>
      </c>
      <c r="C14" s="32"/>
      <c r="D14" s="32">
        <v>10.416666666666668</v>
      </c>
    </row>
    <row r="15" spans="1:4">
      <c r="A15" s="16" t="s">
        <v>59</v>
      </c>
      <c r="B15" s="32">
        <v>0.99999999999999911</v>
      </c>
      <c r="C15" s="32">
        <v>3.5000000000000009</v>
      </c>
      <c r="D15" s="32">
        <v>4.5</v>
      </c>
    </row>
    <row r="16" spans="1:4">
      <c r="A16" s="16" t="s">
        <v>296</v>
      </c>
      <c r="B16" s="32">
        <v>3</v>
      </c>
      <c r="C16" s="32"/>
      <c r="D16" s="32">
        <v>3</v>
      </c>
    </row>
    <row r="17" spans="1:4">
      <c r="A17" s="16" t="s">
        <v>411</v>
      </c>
      <c r="B17" s="32">
        <v>0.99999999999999911</v>
      </c>
      <c r="C17" s="32"/>
      <c r="D17" s="32">
        <v>0.99999999999999911</v>
      </c>
    </row>
    <row r="18" spans="1:4">
      <c r="A18" s="16" t="s">
        <v>52</v>
      </c>
      <c r="B18" s="32">
        <v>0.50000000000000089</v>
      </c>
      <c r="C18" s="32"/>
      <c r="D18" s="32">
        <v>0.50000000000000089</v>
      </c>
    </row>
    <row r="19" spans="1:4">
      <c r="A19" s="15" t="s">
        <v>468</v>
      </c>
      <c r="B19" s="32">
        <v>54.916666666666671</v>
      </c>
      <c r="C19" s="32">
        <v>5.6500000000000012</v>
      </c>
      <c r="D19" s="32">
        <v>60.566666666666677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8"/>
  <sheetViews>
    <sheetView workbookViewId="0">
      <selection activeCell="C7" sqref="C7"/>
    </sheetView>
  </sheetViews>
  <sheetFormatPr defaultColWidth="8.85546875" defaultRowHeight="15"/>
  <cols>
    <col min="1" max="1" width="22" bestFit="1" customWidth="1"/>
    <col min="2" max="2" width="12.5703125" bestFit="1" customWidth="1"/>
    <col min="3" max="4" width="12.5703125" customWidth="1"/>
    <col min="5" max="5" width="9.28515625" customWidth="1"/>
    <col min="6" max="9" width="12.5703125" bestFit="1" customWidth="1"/>
    <col min="10" max="10" width="9.28515625" bestFit="1" customWidth="1"/>
    <col min="11" max="11" width="12.5703125" bestFit="1" customWidth="1"/>
    <col min="12" max="13" width="9.28515625" bestFit="1" customWidth="1"/>
    <col min="14" max="14" width="12.5703125" bestFit="1" customWidth="1"/>
    <col min="15" max="15" width="6.28515625" bestFit="1" customWidth="1"/>
    <col min="16" max="16" width="27" bestFit="1" customWidth="1"/>
    <col min="17" max="17" width="28.140625" bestFit="1" customWidth="1"/>
  </cols>
  <sheetData>
    <row r="2" spans="1:4">
      <c r="A2" s="4" t="s">
        <v>0</v>
      </c>
      <c r="B2" t="s">
        <v>460</v>
      </c>
    </row>
    <row r="4" spans="1:4">
      <c r="A4" s="4" t="s">
        <v>467</v>
      </c>
      <c r="B4" s="4" t="s">
        <v>3</v>
      </c>
    </row>
    <row r="5" spans="1:4">
      <c r="A5" s="4" t="s">
        <v>10</v>
      </c>
      <c r="B5" t="s">
        <v>471</v>
      </c>
      <c r="C5" t="s">
        <v>406</v>
      </c>
      <c r="D5" t="s">
        <v>468</v>
      </c>
    </row>
    <row r="6" spans="1:4">
      <c r="A6" t="s">
        <v>30</v>
      </c>
      <c r="B6" s="37">
        <v>55.653333333333364</v>
      </c>
      <c r="C6">
        <v>52.166666666666742</v>
      </c>
      <c r="D6">
        <v>107.82000000000011</v>
      </c>
    </row>
    <row r="7" spans="1:4">
      <c r="A7" t="s">
        <v>462</v>
      </c>
      <c r="B7" s="37">
        <v>3.5000000000000142</v>
      </c>
      <c r="D7">
        <v>3.5000000000000142</v>
      </c>
    </row>
    <row r="8" spans="1:4">
      <c r="A8" t="s">
        <v>468</v>
      </c>
      <c r="B8">
        <v>59.153333333333379</v>
      </c>
      <c r="C8">
        <v>52.166666666666742</v>
      </c>
      <c r="D8">
        <v>111.32000000000012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24442FD50FF284480EE2B15A6CEFFDE" ma:contentTypeVersion="14" ma:contentTypeDescription="Ein neues Dokument erstellen." ma:contentTypeScope="" ma:versionID="23ac05cc06baf71538cebaea30dd57c8">
  <xsd:schema xmlns:xsd="http://www.w3.org/2001/XMLSchema" xmlns:xs="http://www.w3.org/2001/XMLSchema" xmlns:p="http://schemas.microsoft.com/office/2006/metadata/properties" xmlns:ns3="32ef3a58-c6da-41aa-b7f8-27d581ccfd7d" targetNamespace="http://schemas.microsoft.com/office/2006/metadata/properties" ma:root="true" ma:fieldsID="c777ea5c048a1fee7eaedcb441f22201" ns3:_="">
    <xsd:import namespace="32ef3a58-c6da-41aa-b7f8-27d581ccfd7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igrationWizId" minOccurs="0"/>
                <xsd:element ref="ns3:MigrationWizIdPermissions" minOccurs="0"/>
                <xsd:element ref="ns3:MigrationWizIdVers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f3a58-c6da-41aa-b7f8-27d581ccfd7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igrationWizId" ma:index="9" nillable="true" ma:displayName="MigrationWizId" ma:internalName="MigrationWizId">
      <xsd:simpleType>
        <xsd:restriction base="dms:Text"/>
      </xsd:simpleType>
    </xsd:element>
    <xsd:element name="MigrationWizIdPermissions" ma:index="10" nillable="true" ma:displayName="MigrationWizIdPermissions" ma:internalName="MigrationWizIdPermissions">
      <xsd:simpleType>
        <xsd:restriction base="dms:Text"/>
      </xsd:simpleType>
    </xsd:element>
    <xsd:element name="MigrationWizIdVersion" ma:index="11" nillable="true" ma:displayName="MigrationWizIdVersion" ma:internalName="MigrationWizIdVersion">
      <xsd:simpleType>
        <xsd:restriction base="dms:Text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Version xmlns="32ef3a58-c6da-41aa-b7f8-27d581ccfd7d" xsi:nil="true"/>
    <MigrationWizId xmlns="32ef3a58-c6da-41aa-b7f8-27d581ccfd7d" xsi:nil="true"/>
    <MigrationWizIdPermissions xmlns="32ef3a58-c6da-41aa-b7f8-27d581ccfd7d" xsi:nil="true"/>
    <_activity xmlns="32ef3a58-c6da-41aa-b7f8-27d581ccfd7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EF5504-669C-4407-AAE3-67C699D1C2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ef3a58-c6da-41aa-b7f8-27d581ccfd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8ED757-53E1-4470-9275-CF778C2D2900}">
  <ds:schemaRefs>
    <ds:schemaRef ds:uri="http://schemas.microsoft.com/office/2006/metadata/properties"/>
    <ds:schemaRef ds:uri="http://schemas.microsoft.com/office/infopath/2007/PartnerControls"/>
    <ds:schemaRef ds:uri="32ef3a58-c6da-41aa-b7f8-27d581ccfd7d"/>
  </ds:schemaRefs>
</ds:datastoreItem>
</file>

<file path=customXml/itemProps3.xml><?xml version="1.0" encoding="utf-8"?>
<ds:datastoreItem xmlns:ds="http://schemas.openxmlformats.org/officeDocument/2006/customXml" ds:itemID="{3FD7F76D-A2BA-4467-90A2-E4F4AE50A4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  Journal de Bord des Arrêts</vt:lpstr>
      <vt:lpstr>Matrice Productivité </vt:lpstr>
      <vt:lpstr>Arrêt par Département (2)</vt:lpstr>
      <vt:lpstr>Arrêt par Département (3)</vt:lpstr>
      <vt:lpstr>Arrêt par Département</vt:lpstr>
      <vt:lpstr>Arrêt en H Maroc</vt:lpstr>
      <vt:lpstr>Arrêt en Productivité Maroc</vt:lpstr>
      <vt:lpstr>Arrêt en Productivité par site</vt:lpstr>
      <vt:lpstr>Liste figée</vt:lpstr>
      <vt:lpstr>Arret hebdo par Batiment</vt:lpstr>
      <vt:lpstr>Arret hebdo % maroc</vt:lpstr>
      <vt:lpstr>Arret hebdo maroc</vt:lpstr>
      <vt:lpstr>Arret hebdo par service</vt:lpstr>
      <vt:lpstr>Feuil2</vt:lpstr>
      <vt:lpstr>'  Journal de Bord des Arrêts'!Print_Area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QABLI Meryem</dc:creator>
  <cp:keywords/>
  <dc:description/>
  <cp:lastModifiedBy>Windows User</cp:lastModifiedBy>
  <cp:revision/>
  <dcterms:created xsi:type="dcterms:W3CDTF">2025-12-23T15:27:28Z</dcterms:created>
  <dcterms:modified xsi:type="dcterms:W3CDTF">2026-01-30T16:40:48Z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0x010100924442FD50FF284480EE2B15A6CEFFDE</vt:lpwstr>
  </property>
</Properties>
</file>